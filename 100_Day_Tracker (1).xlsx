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 First" sheetId="1" state="visible" r:id="rId3"/>
    <sheet name="100-Day Tracker" sheetId="2" state="visible" r:id="rId4"/>
    <sheet name="Progress Dashboard" sheetId="3" state="visible" r:id="rId5"/>
    <sheet name="Key Resourc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<sst xmlns="http://schemas.openxmlformats.org/spreadsheetml/2006/main" count="890" uniqueCount="243">
  <si>
    <t xml:space="preserve">How to use this tracker</t>
  </si>
  <si>
    <t xml:space="preserve">This plan runs 100 days: 19 Sep 2026 -&gt; 27 Dec 2026 (matches your Sep-Dec 2026 semester).</t>
  </si>
  <si>
    <t xml:space="preserve">Structure:</t>
  </si>
  <si>
    <t xml:space="preserve">- Weekdays are kept light (1-1.5h) since your JKUAT timetable already fills your days.</t>
  </si>
  <si>
    <t xml:space="preserve">- Weekends carry the heavier 'deep work' blocks (2.5-3h each) - this is where most real progress happens.</t>
  </si>
  <si>
    <t xml:space="preserve">- The 'Class Schedule' column repeats your fixed university timetable so you always see it alongside your self-study plan.</t>
  </si>
  <si>
    <t xml:space="preserve">- The 'Your Free Window' column is a suggestion, not a rule - if an unlisted extra class or CAT lands there, swap it for another open slot the same day, or push it to the weekend buffer.</t>
  </si>
  <si>
    <t xml:space="preserve">If a day gets missed:</t>
  </si>
  <si>
    <t xml:space="preserve">- Mark it 'Skipped' rather than deleting it - the Dashboard tracks Skipped days separately so you always see your true completion rate.</t>
  </si>
  <si>
    <t xml:space="preserve">- Week 14 (Days 94-100) is a built-in buffer/catch-up week - use it to absorb missed days before the 100 days end.</t>
  </si>
  <si>
    <t xml:space="preserve">Your target: getting even 2/3 of these 100 days marked 'Done' (about 67 days) puts you meaningfully ahead of where you are today by January/February - the Dashboard sheet calculates this target automatically.</t>
  </si>
  <si>
    <t xml:space="preserve">Daily habit: update the Status column (dropdown) each evening - it takes 10 seconds and keeps the Dashboard accurate.</t>
  </si>
  <si>
    <t xml:space="preserve">Day</t>
  </si>
  <si>
    <t xml:space="preserve">Date</t>
  </si>
  <si>
    <t xml:space="preserve">Weekday</t>
  </si>
  <si>
    <t xml:space="preserve">Phase</t>
  </si>
  <si>
    <t xml:space="preserve">Week / Theme</t>
  </si>
  <si>
    <t xml:space="preserve">Class Schedule (fixed)</t>
  </si>
  <si>
    <t xml:space="preserve">Your Free Window</t>
  </si>
  <si>
    <t xml:space="preserve">Today's Task</t>
  </si>
  <si>
    <t xml:space="preserve">Resource / Platform</t>
  </si>
  <si>
    <t xml:space="preserve">Est. Time (h)</t>
  </si>
  <si>
    <t xml:space="preserve">Status</t>
  </si>
  <si>
    <t xml:space="preserve">Notes</t>
  </si>
  <si>
    <t xml:space="preserve">Saturday</t>
  </si>
  <si>
    <t xml:space="preserve">Phase 1: Foundations</t>
  </si>
  <si>
    <t xml:space="preserve">Orientation</t>
  </si>
  <si>
    <t xml:space="preserve">No scheduled classes</t>
  </si>
  <si>
    <t xml:space="preserve">Deep-work block (~3h)</t>
  </si>
  <si>
    <t xml:space="preserve">Kick-off: read your full learning roadmap; set your 100-day goal; set up a dedicated folder/notebook for tracking</t>
  </si>
  <si>
    <t xml:space="preserve">-</t>
  </si>
  <si>
    <t xml:space="preserve">Not Started</t>
  </si>
  <si>
    <t xml:space="preserve">Sunday</t>
  </si>
  <si>
    <t xml:space="preserve">Deep-work + weekly review (~2.5h)</t>
  </si>
  <si>
    <t xml:space="preserve">Create GitHub account + repo '100-day-ai-journey'; install Python 3 and VS Code</t>
  </si>
  <si>
    <t xml:space="preserve">github.com</t>
  </si>
  <si>
    <t xml:space="preserve">Monday</t>
  </si>
  <si>
    <t xml:space="preserve">Week 1: Setup &amp; Refresh</t>
  </si>
  <si>
    <t xml:space="preserve">08:00-10:00 SMA2321 Numerical Analysis I (CLB106)</t>
  </si>
  <si>
    <t xml:space="preserve">Evening 18:00-19:30 (~1.5h)</t>
  </si>
  <si>
    <t xml:space="preserve">Refresh linear algebra: vectors, matrices, eigenvalues (eps 1-3)</t>
  </si>
  <si>
    <t xml:space="preserve">3Blue1Brown - Essence of Linear Algebra</t>
  </si>
  <si>
    <t xml:space="preserve">Tuesday</t>
  </si>
  <si>
    <t xml:space="preserve">08:00-10:00 STA2300 Theory of Estimation (CLB103); 10:00-12:00 SMA2301 Real Analysis I (CTC201)</t>
  </si>
  <si>
    <t xml:space="preserve">Evening 18:00-20:00 (~2h)</t>
  </si>
  <si>
    <t xml:space="preserve">Python refresher: functions, NumPy basics, virtual environments</t>
  </si>
  <si>
    <t xml:space="preserve">NumPy Quickstart / official Python docs</t>
  </si>
  <si>
    <t xml:space="preserve">Wednesday</t>
  </si>
  <si>
    <t xml:space="preserve">10:00-12:00 SMA2303 Group Theory I (CTC202); 16:00-18:00 SMA2322 Fluid Mechanics I (CTC04)</t>
  </si>
  <si>
    <t xml:space="preserve">Morning 08:00-09:30 + Evening 18:30-20:00 (~3h)</t>
  </si>
  <si>
    <t xml:space="preserve">Probability refresher: distributions, expectation, variance</t>
  </si>
  <si>
    <t xml:space="preserve">MIT OCW 18.05 lecture notes</t>
  </si>
  <si>
    <t xml:space="preserve">Thursday</t>
  </si>
  <si>
    <t xml:space="preserve">14:00-15:00 SMA2306 Linear Algebra II (CTC204); 16:00-17:00 SMA2304 ODE I (NSC Lobby)</t>
  </si>
  <si>
    <t xml:space="preserve">Morning (free) + Evening 17:30-19:00 (~2h)</t>
  </si>
  <si>
    <t xml:space="preserve">Install PyTorch; work through the 60-minute Blitz tutorial</t>
  </si>
  <si>
    <t xml:space="preserve">pytorch.org/tutorials</t>
  </si>
  <si>
    <t xml:space="preserve">Friday</t>
  </si>
  <si>
    <t xml:space="preserve">09:00-11:00 ICS2311 Computer Graphics (PAM LAB A); 11:00-13:00 SMA2308 Intro. Computational Maths (PAM LAB B)</t>
  </si>
  <si>
    <t xml:space="preserve">Afternoon 13:30-15:00 (~1.5h)</t>
  </si>
  <si>
    <t xml:space="preserve">Create GitHub account + repo '100-day-ai-journey'; write a README with your goal</t>
  </si>
  <si>
    <t xml:space="preserve">Deep work: finish PyTorch Blitz tutorial, push first notebook to GitHub</t>
  </si>
  <si>
    <t xml:space="preserve">Weekly review: log what you learned; sign up for BlueDot AI Safety Fundamentals</t>
  </si>
  <si>
    <t xml:space="preserve">bluedot.org / aisafetyfundamentals.com</t>
  </si>
  <si>
    <t xml:space="preserve">Week 2: PyTorch Fundamentals + fast.ai Start</t>
  </si>
  <si>
    <t xml:space="preserve">fast.ai Lesson 1: watch + take notes (image classification intro)</t>
  </si>
  <si>
    <t xml:space="preserve">course.fast.ai</t>
  </si>
  <si>
    <t xml:space="preserve">fast.ai Lesson 1: hands-on notebook (Colab/Kaggle)</t>
  </si>
  <si>
    <t xml:space="preserve">BlueDot AISF Week 1: 'Transformative AI and Current Trajectory'</t>
  </si>
  <si>
    <t xml:space="preserve">aisafetyfundamentals.com</t>
  </si>
  <si>
    <t xml:space="preserve">PyTorch tensors &amp; autograd: practice exercises</t>
  </si>
  <si>
    <t xml:space="preserve">Review week's PyTorch code; tidy up GitHub repo + commit notes</t>
  </si>
  <si>
    <t xml:space="preserve">Deep work: fast.ai Lesson 2 + hands-on project</t>
  </si>
  <si>
    <t xml:space="preserve">Weekly review; install Lean 4 + VS Code extension for next week</t>
  </si>
  <si>
    <t xml:space="preserve">leanprover.github.io</t>
  </si>
  <si>
    <t xml:space="preserve">Phase 2: Deep Learning &amp; Alignment Core</t>
  </si>
  <si>
    <t xml:space="preserve">Week 3: Neural Net Fundamentals + Outer Alignment</t>
  </si>
  <si>
    <t xml:space="preserve">fast.ai Lesson 3: watch + notes</t>
  </si>
  <si>
    <t xml:space="preserve">fast.ai Lesson 3: hands-on notebook exercise</t>
  </si>
  <si>
    <t xml:space="preserve">BlueDot AISF Week 2: 'Outer Alignment' (reward misspecification, RLHF)</t>
  </si>
  <si>
    <t xml:space="preserve">Lean 4 Ch.1-2: types, terms, basic tactics</t>
  </si>
  <si>
    <t xml:space="preserve">Theorem Proving in Lean 4</t>
  </si>
  <si>
    <t xml:space="preserve">Consolidate notes on outer alignment; summarize in your own words</t>
  </si>
  <si>
    <t xml:space="preserve">Deep work: fast.ai Lesson 4</t>
  </si>
  <si>
    <t xml:space="preserve">Weekly review + plan week 4</t>
  </si>
  <si>
    <t xml:space="preserve">Week 4: Transformers Intro + Inner Alignment</t>
  </si>
  <si>
    <t xml:space="preserve">Read 'The Illustrated Transformer' (Jay Alammar)</t>
  </si>
  <si>
    <t xml:space="preserve">jalammar.github.io</t>
  </si>
  <si>
    <t xml:space="preserve">HuggingFace Transformers quick-start: load and run a small model</t>
  </si>
  <si>
    <t xml:space="preserve">huggingface.co/docs</t>
  </si>
  <si>
    <t xml:space="preserve">BlueDot AISF Week 3: 'Inner Alignment' (deception, goal misgeneralization)</t>
  </si>
  <si>
    <t xml:space="preserve">Lean 4 Ch.3-4: operators, quantifiers, structured proofs</t>
  </si>
  <si>
    <t xml:space="preserve">Review + write a 200-word summary of inner vs outer alignment</t>
  </si>
  <si>
    <t xml:space="preserve">Deep work: HuggingFace hands-on mini-project (fine-tune a tiny model)</t>
  </si>
  <si>
    <t xml:space="preserve">huggingface.co</t>
  </si>
  <si>
    <t xml:space="preserve">Weekly review + plan week 5</t>
  </si>
  <si>
    <t xml:space="preserve">Week 5: Mechanistic Interpretability Intro + Threat Models</t>
  </si>
  <si>
    <t xml:space="preserve">Watch Neel Nanda's intro to mechanistic interpretability</t>
  </si>
  <si>
    <t xml:space="preserve">neelnanda.io</t>
  </si>
  <si>
    <t xml:space="preserve">TransformerLens tutorial: basic circuit analysis notebook</t>
  </si>
  <si>
    <t xml:space="preserve">github.com/TransformerLensOrg/TransformerLens</t>
  </si>
  <si>
    <t xml:space="preserve">BlueDot AISF Week 4: 'Threat Models'</t>
  </si>
  <si>
    <t xml:space="preserve">Lean 4 Ch.5: induction and inductive types</t>
  </si>
  <si>
    <t xml:space="preserve">Review; note 3 open questions to explore later</t>
  </si>
  <si>
    <t xml:space="preserve">Deep work: analyze attention patterns of a small model</t>
  </si>
  <si>
    <t xml:space="preserve">TransformerLens</t>
  </si>
  <si>
    <t xml:space="preserve">Weekly review + plan week 6</t>
  </si>
  <si>
    <t xml:space="preserve">Week 6: Verification Tools Setup + Technical Safety I</t>
  </si>
  <si>
    <t xml:space="preserve">Install Marabou; run its example verification query</t>
  </si>
  <si>
    <t xml:space="preserve">github.com/NeuralNetworkVerification/Marabou</t>
  </si>
  <si>
    <t xml:space="preserve">Install alpha-beta-CROWN; verify robustness of a toy MNIST classifier</t>
  </si>
  <si>
    <t xml:space="preserve">github.com/Verified-Intelligence/alpha-beta-CROWN</t>
  </si>
  <si>
    <t xml:space="preserve">BlueDot AISF Week 5: 'Technical Safety Approaches, Part 1'</t>
  </si>
  <si>
    <t xml:space="preserve">Start Mathematics in Lean: intro chapter</t>
  </si>
  <si>
    <t xml:space="preserve">leanprover-community.github.io/mathematics_in_lein</t>
  </si>
  <si>
    <t xml:space="preserve">Review; document Marabou/CROWN setup steps in your repo</t>
  </si>
  <si>
    <t xml:space="preserve">Deep work: combine a small PyTorch model with a verification tool end-to-end</t>
  </si>
  <si>
    <t xml:space="preserve">Weekly review; decide which specialization gets more weight (Path 1 vs Path 2)</t>
  </si>
  <si>
    <t xml:space="preserve">Phase 3: Specialization Practice</t>
  </si>
  <si>
    <t xml:space="preserve">Week 7: Specialization Exercises I</t>
  </si>
  <si>
    <t xml:space="preserve">Start ARENA-style exercises (mech-interp / RL fundamentals, public materials)</t>
  </si>
  <si>
    <t xml:space="preserve">bluedot.org/courses/arena</t>
  </si>
  <si>
    <t xml:space="preserve">Continue ARENA-style exercises</t>
  </si>
  <si>
    <t xml:space="preserve">BlueDot AISF Week 6: 'Technical Safety Approaches, Part 2'</t>
  </si>
  <si>
    <t xml:space="preserve">Lean: formalize and prove one small numeric/algebraic fact end-to-end</t>
  </si>
  <si>
    <t xml:space="preserve">Mathematics in Lean</t>
  </si>
  <si>
    <t xml:space="preserve">Review; write up one exercise solution cleanly for your portfolio</t>
  </si>
  <si>
    <t xml:space="preserve">Deep work: ARENA-style exercise set, part 2</t>
  </si>
  <si>
    <t xml:space="preserve">Weekly review + plan week 8</t>
  </si>
  <si>
    <t xml:space="preserve">Week 8: Scope Your Portfolio Project</t>
  </si>
  <si>
    <t xml:space="preserve">Brainstorm 3 project ideas (1 alignment, 1 verification, 1 hybrid); pick one</t>
  </si>
  <si>
    <t xml:space="preserve">Write a 1-page project proposal: goal, method, success criteria</t>
  </si>
  <si>
    <t xml:space="preserve">BlueDot AISF Week 7: 'AI Policy Landscape' (course wrap-up)</t>
  </si>
  <si>
    <t xml:space="preserve">Set up project repo structure; write README skeleton</t>
  </si>
  <si>
    <t xml:space="preserve">GitHub</t>
  </si>
  <si>
    <t xml:space="preserve">Sanity-check your proposal against a real ARENA/MATS project example online</t>
  </si>
  <si>
    <t xml:space="preserve">Deep work: begin data/model setup for the project</t>
  </si>
  <si>
    <t xml:space="preserve">Finalize project plan for the next 4 weeks</t>
  </si>
  <si>
    <t xml:space="preserve">Phase 4: Portfolio Project</t>
  </si>
  <si>
    <t xml:space="preserve">Week 9: Portfolio Project - Build Week 1</t>
  </si>
  <si>
    <t xml:space="preserve">Project: data / environment setup</t>
  </si>
  <si>
    <t xml:space="preserve">Project: core implementation, part 1</t>
  </si>
  <si>
    <t xml:space="preserve">Project: core implementation, part 2</t>
  </si>
  <si>
    <t xml:space="preserve">Project: supporting math/proof work (if verification-focused)</t>
  </si>
  <si>
    <t xml:space="preserve">Debug + review progress against proposal</t>
  </si>
  <si>
    <t xml:space="preserve">Deep work: major implementation push</t>
  </si>
  <si>
    <t xml:space="preserve">Weekly review; log blockers and next steps</t>
  </si>
  <si>
    <t xml:space="preserve">Week 10: Portfolio Project - Build Week 2</t>
  </si>
  <si>
    <t xml:space="preserve">Project: extend core implementation</t>
  </si>
  <si>
    <t xml:space="preserve">Project: run first experiments / proof attempts</t>
  </si>
  <si>
    <t xml:space="preserve">Project: analyze first results; adjust approach if needed</t>
  </si>
  <si>
    <t xml:space="preserve">Project: strengthen weakest part of implementation</t>
  </si>
  <si>
    <t xml:space="preserve">Week 11: Portfolio Project - Build Week 3 + Draft Writeup</t>
  </si>
  <si>
    <t xml:space="preserve">Project: finalize experiments / proofs</t>
  </si>
  <si>
    <t xml:space="preserve">Project: collect and organize results/evidence</t>
  </si>
  <si>
    <t xml:space="preserve">Start writeup: introduction + method section</t>
  </si>
  <si>
    <t xml:space="preserve">Writeup: results section</t>
  </si>
  <si>
    <t xml:space="preserve">Writeup: discussion + limitations section</t>
  </si>
  <si>
    <t xml:space="preserve">Deep work: finish first full writeup draft</t>
  </si>
  <si>
    <t xml:space="preserve">Weekly review; list polish items for next week</t>
  </si>
  <si>
    <t xml:space="preserve">Week 12: Polish, Writeup &amp; GitHub Finalization</t>
  </si>
  <si>
    <t xml:space="preserve">Revise writeup for clarity based on your own re-read</t>
  </si>
  <si>
    <t xml:space="preserve">Clean up code: comments, structure, remove dead code</t>
  </si>
  <si>
    <t xml:space="preserve">Write a clear top-level README with results and how to reproduce</t>
  </si>
  <si>
    <t xml:space="preserve">Add visuals/plots if useful; finalize repo structure</t>
  </si>
  <si>
    <t xml:space="preserve">Proofread everything; publish repo as public</t>
  </si>
  <si>
    <t xml:space="preserve">Deep work: optional short blog-style post summarizing the project</t>
  </si>
  <si>
    <t xml:space="preserve">Weekly review: project complete - celebrate the milestone</t>
  </si>
  <si>
    <t xml:space="preserve">Phase 5: Apply &amp; Wrap-Up</t>
  </si>
  <si>
    <t xml:space="preserve">Week 13: Applications Week</t>
  </si>
  <si>
    <t xml:space="preserve">Update CV/resume with new skills + project</t>
  </si>
  <si>
    <t xml:space="preserve">Update LinkedIn/portfolio site with project + learning journey</t>
  </si>
  <si>
    <t xml:space="preserve">Check next ARENA cohort dates; prepare application materials</t>
  </si>
  <si>
    <t xml:space="preserve">Research MATS + Anthropic Fellows application windows and requirements</t>
  </si>
  <si>
    <t xml:space="preserve">matsprogram.org</t>
  </si>
  <si>
    <t xml:space="preserve">Shortlist 3-5 RA/PhD/scholarship listings matching Path 1 or 2; note deadlines</t>
  </si>
  <si>
    <t xml:space="preserve">jobs.ac.uk / university sites</t>
  </si>
  <si>
    <t xml:space="preserve">Deep work: submit 1-2 applications or draft outreach emails</t>
  </si>
  <si>
    <t xml:space="preserve">Weekly review; plan applications still pending</t>
  </si>
  <si>
    <t xml:space="preserve">Week 14: Buffer, Review &amp; Next-Cycle Planning</t>
  </si>
  <si>
    <t xml:space="preserve">Buffer: catch up on any missed task from the last 13 weeks</t>
  </si>
  <si>
    <t xml:space="preserve">Buffer: catch up / revisit your weakest topic</t>
  </si>
  <si>
    <t xml:space="preserve">Revisit the topic you found hardest; redo one exercise</t>
  </si>
  <si>
    <t xml:space="preserve">Revisit second-hardest topic; redo one exercise</t>
  </si>
  <si>
    <t xml:space="preserve">Tidy all notes/repos into one clear index document</t>
  </si>
  <si>
    <t xml:space="preserve">Week 14: Final review</t>
  </si>
  <si>
    <t xml:space="preserve">Review all 100 days: what got Done vs Skipped; write 5 honest lessons learned</t>
  </si>
  <si>
    <t xml:space="preserve">Your own tracker + notes</t>
  </si>
  <si>
    <t xml:space="preserve">Week 14: Goal-setting for Jan/Feb</t>
  </si>
  <si>
    <t xml:space="preserve">Set 3 concrete goals for Jan/Feb (e.g. apply to next ARENA cohort, finish a second project); plan your next 100-day cycle</t>
  </si>
  <si>
    <t xml:space="preserve">100-Day Tracker - Progress Dashboard</t>
  </si>
  <si>
    <t xml:space="preserve">Total days in plan</t>
  </si>
  <si>
    <t xml:space="preserve">Days marked Done</t>
  </si>
  <si>
    <t xml:space="preserve">Days marked In Progress</t>
  </si>
  <si>
    <t xml:space="preserve">Days marked Skipped</t>
  </si>
  <si>
    <t xml:space="preserve">Days Not Started</t>
  </si>
  <si>
    <t xml:space="preserve">% Complete (Done / Total)</t>
  </si>
  <si>
    <t xml:space="preserve">Target for 2/3 completion (days)</t>
  </si>
  <si>
    <t xml:space="preserve">Days still needed to hit 2/3 target</t>
  </si>
  <si>
    <t xml:space="preserve">Progress by Phase</t>
  </si>
  <si>
    <t xml:space="preserve">Total Days</t>
  </si>
  <si>
    <t xml:space="preserve">Days Done</t>
  </si>
  <si>
    <t xml:space="preserve">% Complete</t>
  </si>
  <si>
    <t xml:space="preserve">Tip: update the Status column in the '100-Day Tracker' sheet daily. This dashboard updates automatically.</t>
  </si>
  <si>
    <t xml:space="preserve">Key Resources &amp; Platforms</t>
  </si>
  <si>
    <t xml:space="preserve">Resource</t>
  </si>
  <si>
    <t xml:space="preserve">Link</t>
  </si>
  <si>
    <t xml:space="preserve">Used for</t>
  </si>
  <si>
    <t xml:space="preserve">BlueDot Impact - AI Safety Fundamentals</t>
  </si>
  <si>
    <t xml:space="preserve">https://aisafetyfundamentals.com</t>
  </si>
  <si>
    <t xml:space="preserve">Core AI safety/alignment curriculum (Path 1)</t>
  </si>
  <si>
    <t xml:space="preserve">ARENA (Alignment Research Engineer Accelerator)</t>
  </si>
  <si>
    <t xml:space="preserve">https://bluedot.org/courses/arena</t>
  </si>
  <si>
    <t xml:space="preserve">Applied ML-for-safety bootcamp (Path 1, apply once ready)</t>
  </si>
  <si>
    <t xml:space="preserve">MATS (ML Alignment Theory Scholars)</t>
  </si>
  <si>
    <t xml:space="preserve">https://www.matsprogram.org</t>
  </si>
  <si>
    <t xml:space="preserve">Research mentorship (Path 1, apply after ARENA/foundations)</t>
  </si>
  <si>
    <t xml:space="preserve">fast.ai - Practical Deep Learning</t>
  </si>
  <si>
    <t xml:space="preserve">https://course.fast.ai</t>
  </si>
  <si>
    <t xml:space="preserve">Deep learning foundations</t>
  </si>
  <si>
    <t xml:space="preserve">PyTorch Tutorials</t>
  </si>
  <si>
    <t xml:space="preserve">https://pytorch.org/tutorials</t>
  </si>
  <si>
    <t xml:space="preserve">Core ML framework fluency</t>
  </si>
  <si>
    <t xml:space="preserve">https://www.3blue1brown.com/topics/linear-algebra</t>
  </si>
  <si>
    <t xml:space="preserve">Math refresh</t>
  </si>
  <si>
    <t xml:space="preserve">MIT OCW 18.05 (Probability)</t>
  </si>
  <si>
    <t xml:space="preserve">https://ocw.mit.edu</t>
  </si>
  <si>
    <t xml:space="preserve">https://leanprover.github.io/theorem_proving_in_lean4/</t>
  </si>
  <si>
    <t xml:space="preserve">Formal verification foundations (Path 2)</t>
  </si>
  <si>
    <t xml:space="preserve">https://leanprover-community.github.io/mathematics_in_lean/</t>
  </si>
  <si>
    <t xml:space="preserve">Marabou</t>
  </si>
  <si>
    <t xml:space="preserve">https://github.com/NeuralNetworkVerification/Marabou</t>
  </si>
  <si>
    <t xml:space="preserve">Neural network verification tool (Path 2)</t>
  </si>
  <si>
    <t xml:space="preserve">alpha-beta-CROWN</t>
  </si>
  <si>
    <t xml:space="preserve">https://github.com/Verified-Intelligence/alpha-beta-CROWN</t>
  </si>
  <si>
    <t xml:space="preserve">Neel Nanda - Mechanistic Interpretability</t>
  </si>
  <si>
    <t xml:space="preserve">https://www.neelnanda.io</t>
  </si>
  <si>
    <t xml:space="preserve">Interpretability intro (Path 1)</t>
  </si>
  <si>
    <t xml:space="preserve">https://github.com/TransformerLensOrg/TransformerLens</t>
  </si>
  <si>
    <t xml:space="preserve">Mechanistic interpretability tooling (Path 1)</t>
  </si>
  <si>
    <t xml:space="preserve">The Illustrated Transformer (Jay Alammar)</t>
  </si>
  <si>
    <t xml:space="preserve">https://jalammar.github.io</t>
  </si>
  <si>
    <t xml:space="preserve">Transformer intuition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</si>
</sst>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-mmm\-yyyy"/>
    <numFmt numFmtId="166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i val="true"/>
      <sz val="9"/>
      <color rgb="FF808080"/>
      <name val="Arial"/>
      <family val="0"/>
      <charset val="1"/>
    </font>
    <font>
      <u val="single"/>
      <sz val="10"/>
      <color rgb="FF1155CC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AD1DC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1155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4D6"/>
      <rgbColor rgb="FF99CCFF"/>
      <rgbColor rgb="FFFF99CC"/>
      <rgbColor rgb="FFCC99FF"/>
      <rgbColor rgb="FFEAD1D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2" t="s">
        <v>2</v>
      </c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2" t="s">
        <v>7</v>
      </c>
    </row>
    <row r="12" customFormat="false" ht="1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2" t="s">
        <v>10</v>
      </c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2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4" min="4" style="0" width="26"/>
    <col collapsed="false" customWidth="true" hidden="false" outlineLevel="0" max="5" min="5" style="0" width="30"/>
    <col collapsed="false" customWidth="true" hidden="false" outlineLevel="0" max="6" min="6" style="0" width="42"/>
    <col collapsed="false" customWidth="true" hidden="false" outlineLevel="0" max="7" min="7" style="0" width="26"/>
    <col collapsed="false" customWidth="true" hidden="false" outlineLevel="0" max="8" min="8" style="0" width="46"/>
    <col collapsed="false" customWidth="true" hidden="false" outlineLevel="0" max="9" min="9" style="0" width="26"/>
    <col collapsed="false" customWidth="true" hidden="false" outlineLevel="0" max="10" min="10" style="0" width="11"/>
    <col collapsed="false" customWidth="true" hidden="false" outlineLevel="0" max="11" min="11" style="0" width="13"/>
    <col collapsed="false" customWidth="true" hidden="false" outlineLevel="0" max="12" min="12" style="0" width="24"/>
  </cols>
  <sheetData>
    <row r="1" customFormat="false" ht="30" hidden="false" customHeight="true" outlineLevel="0" collapsed="false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  <c r="L1" s="3" t="s">
        <v>23</v>
      </c>
    </row>
    <row r="2" customFormat="false" ht="23.85" hidden="false" customHeight="false" outlineLevel="0" collapsed="false">
      <c r="A2" s="4" t="n">
        <v>1</v>
      </c>
      <c r="B2" s="5" t="n">
        <v>46284</v>
      </c>
      <c r="C2" s="4" t="s">
        <v>24</v>
      </c>
      <c r="D2" s="6" t="s">
        <v>25</v>
      </c>
      <c r="E2" s="7" t="s">
        <v>26</v>
      </c>
      <c r="F2" s="7" t="s">
        <v>27</v>
      </c>
      <c r="G2" s="7" t="s">
        <v>28</v>
      </c>
      <c r="H2" s="7" t="s">
        <v>29</v>
      </c>
      <c r="I2" s="4" t="s">
        <v>30</v>
      </c>
      <c r="J2" s="4" t="n">
        <v>3</v>
      </c>
      <c r="K2" s="4" t="s">
        <v>31</v>
      </c>
      <c r="L2" s="7"/>
    </row>
    <row r="3" customFormat="false" ht="23.85" hidden="false" customHeight="false" outlineLevel="0" collapsed="false">
      <c r="A3" s="4" t="n">
        <v>2</v>
      </c>
      <c r="B3" s="5" t="n">
        <v>46285</v>
      </c>
      <c r="C3" s="4" t="s">
        <v>32</v>
      </c>
      <c r="D3" s="6" t="s">
        <v>25</v>
      </c>
      <c r="E3" s="7" t="s">
        <v>26</v>
      </c>
      <c r="F3" s="7" t="s">
        <v>27</v>
      </c>
      <c r="G3" s="7" t="s">
        <v>33</v>
      </c>
      <c r="H3" s="7" t="s">
        <v>34</v>
      </c>
      <c r="I3" s="4" t="s">
        <v>35</v>
      </c>
      <c r="J3" s="4" t="n">
        <v>2.5</v>
      </c>
      <c r="K3" s="4" t="s">
        <v>31</v>
      </c>
      <c r="L3" s="7"/>
    </row>
    <row r="4" customFormat="false" ht="23.85" hidden="false" customHeight="false" outlineLevel="0" collapsed="false">
      <c r="A4" s="4" t="n">
        <v>3</v>
      </c>
      <c r="B4" s="5" t="n">
        <v>46286</v>
      </c>
      <c r="C4" s="4" t="s">
        <v>36</v>
      </c>
      <c r="D4" s="6" t="s">
        <v>25</v>
      </c>
      <c r="E4" s="7" t="s">
        <v>37</v>
      </c>
      <c r="F4" s="7" t="s">
        <v>38</v>
      </c>
      <c r="G4" s="7" t="s">
        <v>39</v>
      </c>
      <c r="H4" s="7" t="s">
        <v>40</v>
      </c>
      <c r="I4" s="4" t="s">
        <v>41</v>
      </c>
      <c r="J4" s="4" t="n">
        <v>1.5</v>
      </c>
      <c r="K4" s="4" t="s">
        <v>31</v>
      </c>
      <c r="L4" s="7"/>
    </row>
    <row r="5" customFormat="false" ht="35.05" hidden="false" customHeight="false" outlineLevel="0" collapsed="false">
      <c r="A5" s="4" t="n">
        <v>4</v>
      </c>
      <c r="B5" s="5" t="n">
        <v>46287</v>
      </c>
      <c r="C5" s="4" t="s">
        <v>42</v>
      </c>
      <c r="D5" s="6" t="s">
        <v>25</v>
      </c>
      <c r="E5" s="7" t="s">
        <v>37</v>
      </c>
      <c r="F5" s="7" t="s">
        <v>43</v>
      </c>
      <c r="G5" s="7" t="s">
        <v>44</v>
      </c>
      <c r="H5" s="7" t="s">
        <v>45</v>
      </c>
      <c r="I5" s="4" t="s">
        <v>46</v>
      </c>
      <c r="J5" s="4" t="n">
        <v>2</v>
      </c>
      <c r="K5" s="4" t="s">
        <v>31</v>
      </c>
      <c r="L5" s="7"/>
    </row>
    <row r="6" customFormat="false" ht="23.85" hidden="false" customHeight="false" outlineLevel="0" collapsed="false">
      <c r="A6" s="4" t="n">
        <v>5</v>
      </c>
      <c r="B6" s="5" t="n">
        <v>46288</v>
      </c>
      <c r="C6" s="4" t="s">
        <v>47</v>
      </c>
      <c r="D6" s="6" t="s">
        <v>25</v>
      </c>
      <c r="E6" s="7" t="s">
        <v>37</v>
      </c>
      <c r="F6" s="7" t="s">
        <v>48</v>
      </c>
      <c r="G6" s="7" t="s">
        <v>49</v>
      </c>
      <c r="H6" s="7" t="s">
        <v>50</v>
      </c>
      <c r="I6" s="4" t="s">
        <v>51</v>
      </c>
      <c r="J6" s="4" t="n">
        <v>1.5</v>
      </c>
      <c r="K6" s="4" t="s">
        <v>31</v>
      </c>
      <c r="L6" s="7"/>
    </row>
    <row r="7" customFormat="false" ht="23.85" hidden="false" customHeight="false" outlineLevel="0" collapsed="false">
      <c r="A7" s="4" t="n">
        <v>6</v>
      </c>
      <c r="B7" s="5" t="n">
        <v>46289</v>
      </c>
      <c r="C7" s="4" t="s">
        <v>52</v>
      </c>
      <c r="D7" s="6" t="s">
        <v>25</v>
      </c>
      <c r="E7" s="7" t="s">
        <v>37</v>
      </c>
      <c r="F7" s="7" t="s">
        <v>53</v>
      </c>
      <c r="G7" s="7" t="s">
        <v>54</v>
      </c>
      <c r="H7" s="7" t="s">
        <v>55</v>
      </c>
      <c r="I7" s="4" t="s">
        <v>56</v>
      </c>
      <c r="J7" s="4" t="n">
        <v>1.5</v>
      </c>
      <c r="K7" s="4" t="s">
        <v>31</v>
      </c>
      <c r="L7" s="7"/>
    </row>
    <row r="8" customFormat="false" ht="35.05" hidden="false" customHeight="false" outlineLevel="0" collapsed="false">
      <c r="A8" s="4" t="n">
        <v>7</v>
      </c>
      <c r="B8" s="5" t="n">
        <v>46290</v>
      </c>
      <c r="C8" s="4" t="s">
        <v>57</v>
      </c>
      <c r="D8" s="6" t="s">
        <v>25</v>
      </c>
      <c r="E8" s="7" t="s">
        <v>37</v>
      </c>
      <c r="F8" s="7" t="s">
        <v>58</v>
      </c>
      <c r="G8" s="7" t="s">
        <v>59</v>
      </c>
      <c r="H8" s="7" t="s">
        <v>60</v>
      </c>
      <c r="I8" s="4" t="s">
        <v>35</v>
      </c>
      <c r="J8" s="4" t="n">
        <v>1</v>
      </c>
      <c r="K8" s="4" t="s">
        <v>31</v>
      </c>
      <c r="L8" s="7"/>
    </row>
    <row r="9" customFormat="false" ht="23.85" hidden="false" customHeight="false" outlineLevel="0" collapsed="false">
      <c r="A9" s="4" t="n">
        <v>8</v>
      </c>
      <c r="B9" s="5" t="n">
        <v>46291</v>
      </c>
      <c r="C9" s="4" t="s">
        <v>24</v>
      </c>
      <c r="D9" s="6" t="s">
        <v>25</v>
      </c>
      <c r="E9" s="7" t="s">
        <v>37</v>
      </c>
      <c r="F9" s="7" t="s">
        <v>27</v>
      </c>
      <c r="G9" s="7" t="s">
        <v>28</v>
      </c>
      <c r="H9" s="7" t="s">
        <v>61</v>
      </c>
      <c r="I9" s="4" t="s">
        <v>56</v>
      </c>
      <c r="J9" s="4" t="n">
        <v>3</v>
      </c>
      <c r="K9" s="4" t="s">
        <v>31</v>
      </c>
      <c r="L9" s="7"/>
    </row>
    <row r="10" customFormat="false" ht="23.85" hidden="false" customHeight="false" outlineLevel="0" collapsed="false">
      <c r="A10" s="4" t="n">
        <v>9</v>
      </c>
      <c r="B10" s="5" t="n">
        <v>46292</v>
      </c>
      <c r="C10" s="4" t="s">
        <v>32</v>
      </c>
      <c r="D10" s="6" t="s">
        <v>25</v>
      </c>
      <c r="E10" s="7" t="s">
        <v>37</v>
      </c>
      <c r="F10" s="7" t="s">
        <v>27</v>
      </c>
      <c r="G10" s="7" t="s">
        <v>33</v>
      </c>
      <c r="H10" s="7" t="s">
        <v>62</v>
      </c>
      <c r="I10" s="4" t="s">
        <v>63</v>
      </c>
      <c r="J10" s="4" t="n">
        <v>2.5</v>
      </c>
      <c r="K10" s="4" t="s">
        <v>31</v>
      </c>
      <c r="L10" s="7"/>
    </row>
    <row r="11" customFormat="false" ht="23.85" hidden="false" customHeight="false" outlineLevel="0" collapsed="false">
      <c r="A11" s="4" t="n">
        <v>10</v>
      </c>
      <c r="B11" s="5" t="n">
        <v>46293</v>
      </c>
      <c r="C11" s="4" t="s">
        <v>36</v>
      </c>
      <c r="D11" s="6" t="s">
        <v>25</v>
      </c>
      <c r="E11" s="7" t="s">
        <v>64</v>
      </c>
      <c r="F11" s="7" t="s">
        <v>38</v>
      </c>
      <c r="G11" s="7" t="s">
        <v>39</v>
      </c>
      <c r="H11" s="7" t="s">
        <v>65</v>
      </c>
      <c r="I11" s="4" t="s">
        <v>66</v>
      </c>
      <c r="J11" s="4" t="n">
        <v>1.5</v>
      </c>
      <c r="K11" s="4" t="s">
        <v>31</v>
      </c>
      <c r="L11" s="7"/>
    </row>
    <row r="12" customFormat="false" ht="35.05" hidden="false" customHeight="false" outlineLevel="0" collapsed="false">
      <c r="A12" s="4" t="n">
        <v>11</v>
      </c>
      <c r="B12" s="5" t="n">
        <v>46294</v>
      </c>
      <c r="C12" s="4" t="s">
        <v>42</v>
      </c>
      <c r="D12" s="6" t="s">
        <v>25</v>
      </c>
      <c r="E12" s="7" t="s">
        <v>64</v>
      </c>
      <c r="F12" s="7" t="s">
        <v>43</v>
      </c>
      <c r="G12" s="7" t="s">
        <v>44</v>
      </c>
      <c r="H12" s="7" t="s">
        <v>67</v>
      </c>
      <c r="I12" s="4" t="s">
        <v>66</v>
      </c>
      <c r="J12" s="4" t="n">
        <v>2</v>
      </c>
      <c r="K12" s="4" t="s">
        <v>31</v>
      </c>
      <c r="L12" s="7"/>
    </row>
    <row r="13" customFormat="false" ht="23.85" hidden="false" customHeight="false" outlineLevel="0" collapsed="false">
      <c r="A13" s="4" t="n">
        <v>12</v>
      </c>
      <c r="B13" s="5" t="n">
        <v>46295</v>
      </c>
      <c r="C13" s="4" t="s">
        <v>47</v>
      </c>
      <c r="D13" s="6" t="s">
        <v>25</v>
      </c>
      <c r="E13" s="7" t="s">
        <v>64</v>
      </c>
      <c r="F13" s="7" t="s">
        <v>48</v>
      </c>
      <c r="G13" s="7" t="s">
        <v>49</v>
      </c>
      <c r="H13" s="7" t="s">
        <v>68</v>
      </c>
      <c r="I13" s="4" t="s">
        <v>69</v>
      </c>
      <c r="J13" s="4" t="n">
        <v>1.5</v>
      </c>
      <c r="K13" s="4" t="s">
        <v>31</v>
      </c>
      <c r="L13" s="7"/>
    </row>
    <row r="14" customFormat="false" ht="23.85" hidden="false" customHeight="false" outlineLevel="0" collapsed="false">
      <c r="A14" s="4" t="n">
        <v>13</v>
      </c>
      <c r="B14" s="5" t="n">
        <v>46296</v>
      </c>
      <c r="C14" s="4" t="s">
        <v>52</v>
      </c>
      <c r="D14" s="6" t="s">
        <v>25</v>
      </c>
      <c r="E14" s="7" t="s">
        <v>64</v>
      </c>
      <c r="F14" s="7" t="s">
        <v>53</v>
      </c>
      <c r="G14" s="7" t="s">
        <v>54</v>
      </c>
      <c r="H14" s="7" t="s">
        <v>70</v>
      </c>
      <c r="I14" s="4" t="s">
        <v>56</v>
      </c>
      <c r="J14" s="4" t="n">
        <v>1.5</v>
      </c>
      <c r="K14" s="4" t="s">
        <v>31</v>
      </c>
      <c r="L14" s="7"/>
    </row>
    <row r="15" customFormat="false" ht="35.05" hidden="false" customHeight="false" outlineLevel="0" collapsed="false">
      <c r="A15" s="4" t="n">
        <v>14</v>
      </c>
      <c r="B15" s="5" t="n">
        <v>46297</v>
      </c>
      <c r="C15" s="4" t="s">
        <v>57</v>
      </c>
      <c r="D15" s="6" t="s">
        <v>25</v>
      </c>
      <c r="E15" s="7" t="s">
        <v>64</v>
      </c>
      <c r="F15" s="7" t="s">
        <v>58</v>
      </c>
      <c r="G15" s="7" t="s">
        <v>59</v>
      </c>
      <c r="H15" s="7" t="s">
        <v>71</v>
      </c>
      <c r="I15" s="4" t="s">
        <v>30</v>
      </c>
      <c r="J15" s="4" t="n">
        <v>1</v>
      </c>
      <c r="K15" s="4" t="s">
        <v>31</v>
      </c>
      <c r="L15" s="7"/>
    </row>
    <row r="16" customFormat="false" ht="23.85" hidden="false" customHeight="false" outlineLevel="0" collapsed="false">
      <c r="A16" s="4" t="n">
        <v>15</v>
      </c>
      <c r="B16" s="5" t="n">
        <v>46298</v>
      </c>
      <c r="C16" s="4" t="s">
        <v>24</v>
      </c>
      <c r="D16" s="6" t="s">
        <v>25</v>
      </c>
      <c r="E16" s="7" t="s">
        <v>64</v>
      </c>
      <c r="F16" s="7" t="s">
        <v>27</v>
      </c>
      <c r="G16" s="7" t="s">
        <v>28</v>
      </c>
      <c r="H16" s="7" t="s">
        <v>72</v>
      </c>
      <c r="I16" s="4" t="s">
        <v>66</v>
      </c>
      <c r="J16" s="4" t="n">
        <v>3</v>
      </c>
      <c r="K16" s="4" t="s">
        <v>31</v>
      </c>
      <c r="L16" s="7"/>
    </row>
    <row r="17" customFormat="false" ht="23.85" hidden="false" customHeight="false" outlineLevel="0" collapsed="false">
      <c r="A17" s="4" t="n">
        <v>16</v>
      </c>
      <c r="B17" s="5" t="n">
        <v>46299</v>
      </c>
      <c r="C17" s="4" t="s">
        <v>32</v>
      </c>
      <c r="D17" s="6" t="s">
        <v>25</v>
      </c>
      <c r="E17" s="7" t="s">
        <v>64</v>
      </c>
      <c r="F17" s="7" t="s">
        <v>27</v>
      </c>
      <c r="G17" s="7" t="s">
        <v>33</v>
      </c>
      <c r="H17" s="7" t="s">
        <v>73</v>
      </c>
      <c r="I17" s="4" t="s">
        <v>74</v>
      </c>
      <c r="J17" s="4" t="n">
        <v>2.5</v>
      </c>
      <c r="K17" s="4" t="s">
        <v>31</v>
      </c>
      <c r="L17" s="7"/>
    </row>
    <row r="18" customFormat="false" ht="23.85" hidden="false" customHeight="false" outlineLevel="0" collapsed="false">
      <c r="A18" s="4" t="n">
        <v>17</v>
      </c>
      <c r="B18" s="5" t="n">
        <v>46300</v>
      </c>
      <c r="C18" s="4" t="s">
        <v>36</v>
      </c>
      <c r="D18" s="8" t="s">
        <v>75</v>
      </c>
      <c r="E18" s="7" t="s">
        <v>76</v>
      </c>
      <c r="F18" s="7" t="s">
        <v>38</v>
      </c>
      <c r="G18" s="7" t="s">
        <v>39</v>
      </c>
      <c r="H18" s="7" t="s">
        <v>77</v>
      </c>
      <c r="I18" s="4" t="s">
        <v>66</v>
      </c>
      <c r="J18" s="4" t="n">
        <v>1.5</v>
      </c>
      <c r="K18" s="4" t="s">
        <v>31</v>
      </c>
      <c r="L18" s="7"/>
    </row>
    <row r="19" customFormat="false" ht="35.05" hidden="false" customHeight="false" outlineLevel="0" collapsed="false">
      <c r="A19" s="4" t="n">
        <v>18</v>
      </c>
      <c r="B19" s="5" t="n">
        <v>46301</v>
      </c>
      <c r="C19" s="4" t="s">
        <v>42</v>
      </c>
      <c r="D19" s="8" t="s">
        <v>75</v>
      </c>
      <c r="E19" s="7" t="s">
        <v>76</v>
      </c>
      <c r="F19" s="7" t="s">
        <v>43</v>
      </c>
      <c r="G19" s="7" t="s">
        <v>44</v>
      </c>
      <c r="H19" s="7" t="s">
        <v>78</v>
      </c>
      <c r="I19" s="4" t="s">
        <v>66</v>
      </c>
      <c r="J19" s="4" t="n">
        <v>2</v>
      </c>
      <c r="K19" s="4" t="s">
        <v>31</v>
      </c>
      <c r="L19" s="7"/>
    </row>
    <row r="20" customFormat="false" ht="23.85" hidden="false" customHeight="false" outlineLevel="0" collapsed="false">
      <c r="A20" s="4" t="n">
        <v>19</v>
      </c>
      <c r="B20" s="5" t="n">
        <v>46302</v>
      </c>
      <c r="C20" s="4" t="s">
        <v>47</v>
      </c>
      <c r="D20" s="8" t="s">
        <v>75</v>
      </c>
      <c r="E20" s="7" t="s">
        <v>76</v>
      </c>
      <c r="F20" s="7" t="s">
        <v>48</v>
      </c>
      <c r="G20" s="7" t="s">
        <v>49</v>
      </c>
      <c r="H20" s="7" t="s">
        <v>79</v>
      </c>
      <c r="I20" s="4" t="s">
        <v>69</v>
      </c>
      <c r="J20" s="4" t="n">
        <v>1.5</v>
      </c>
      <c r="K20" s="4" t="s">
        <v>31</v>
      </c>
      <c r="L20" s="7"/>
    </row>
    <row r="21" customFormat="false" ht="23.85" hidden="false" customHeight="false" outlineLevel="0" collapsed="false">
      <c r="A21" s="4" t="n">
        <v>20</v>
      </c>
      <c r="B21" s="5" t="n">
        <v>46303</v>
      </c>
      <c r="C21" s="4" t="s">
        <v>52</v>
      </c>
      <c r="D21" s="8" t="s">
        <v>75</v>
      </c>
      <c r="E21" s="7" t="s">
        <v>76</v>
      </c>
      <c r="F21" s="7" t="s">
        <v>53</v>
      </c>
      <c r="G21" s="7" t="s">
        <v>54</v>
      </c>
      <c r="H21" s="7" t="s">
        <v>80</v>
      </c>
      <c r="I21" s="4" t="s">
        <v>81</v>
      </c>
      <c r="J21" s="4" t="n">
        <v>1.5</v>
      </c>
      <c r="K21" s="4" t="s">
        <v>31</v>
      </c>
      <c r="L21" s="7"/>
    </row>
    <row r="22" customFormat="false" ht="35.05" hidden="false" customHeight="false" outlineLevel="0" collapsed="false">
      <c r="A22" s="4" t="n">
        <v>21</v>
      </c>
      <c r="B22" s="5" t="n">
        <v>46304</v>
      </c>
      <c r="C22" s="4" t="s">
        <v>57</v>
      </c>
      <c r="D22" s="8" t="s">
        <v>75</v>
      </c>
      <c r="E22" s="7" t="s">
        <v>76</v>
      </c>
      <c r="F22" s="7" t="s">
        <v>58</v>
      </c>
      <c r="G22" s="7" t="s">
        <v>59</v>
      </c>
      <c r="H22" s="7" t="s">
        <v>82</v>
      </c>
      <c r="I22" s="4" t="s">
        <v>30</v>
      </c>
      <c r="J22" s="4" t="n">
        <v>1</v>
      </c>
      <c r="K22" s="4" t="s">
        <v>31</v>
      </c>
      <c r="L22" s="7"/>
    </row>
    <row r="23" customFormat="false" ht="23.85" hidden="false" customHeight="false" outlineLevel="0" collapsed="false">
      <c r="A23" s="4" t="n">
        <v>22</v>
      </c>
      <c r="B23" s="5" t="n">
        <v>46305</v>
      </c>
      <c r="C23" s="4" t="s">
        <v>24</v>
      </c>
      <c r="D23" s="8" t="s">
        <v>75</v>
      </c>
      <c r="E23" s="7" t="s">
        <v>76</v>
      </c>
      <c r="F23" s="7" t="s">
        <v>27</v>
      </c>
      <c r="G23" s="7" t="s">
        <v>28</v>
      </c>
      <c r="H23" s="7" t="s">
        <v>83</v>
      </c>
      <c r="I23" s="4" t="s">
        <v>66</v>
      </c>
      <c r="J23" s="4" t="n">
        <v>3</v>
      </c>
      <c r="K23" s="4" t="s">
        <v>31</v>
      </c>
      <c r="L23" s="7"/>
    </row>
    <row r="24" customFormat="false" ht="23.85" hidden="false" customHeight="false" outlineLevel="0" collapsed="false">
      <c r="A24" s="4" t="n">
        <v>23</v>
      </c>
      <c r="B24" s="5" t="n">
        <v>46306</v>
      </c>
      <c r="C24" s="4" t="s">
        <v>32</v>
      </c>
      <c r="D24" s="8" t="s">
        <v>75</v>
      </c>
      <c r="E24" s="7" t="s">
        <v>76</v>
      </c>
      <c r="F24" s="7" t="s">
        <v>27</v>
      </c>
      <c r="G24" s="7" t="s">
        <v>33</v>
      </c>
      <c r="H24" s="7" t="s">
        <v>84</v>
      </c>
      <c r="I24" s="4" t="s">
        <v>30</v>
      </c>
      <c r="J24" s="4" t="n">
        <v>2.5</v>
      </c>
      <c r="K24" s="4" t="s">
        <v>31</v>
      </c>
      <c r="L24" s="7"/>
    </row>
    <row r="25" customFormat="false" ht="23.85" hidden="false" customHeight="false" outlineLevel="0" collapsed="false">
      <c r="A25" s="4" t="n">
        <v>24</v>
      </c>
      <c r="B25" s="5" t="n">
        <v>46307</v>
      </c>
      <c r="C25" s="4" t="s">
        <v>36</v>
      </c>
      <c r="D25" s="8" t="s">
        <v>75</v>
      </c>
      <c r="E25" s="7" t="s">
        <v>85</v>
      </c>
      <c r="F25" s="7" t="s">
        <v>38</v>
      </c>
      <c r="G25" s="7" t="s">
        <v>39</v>
      </c>
      <c r="H25" s="7" t="s">
        <v>86</v>
      </c>
      <c r="I25" s="4" t="s">
        <v>87</v>
      </c>
      <c r="J25" s="4" t="n">
        <v>1.5</v>
      </c>
      <c r="K25" s="4" t="s">
        <v>31</v>
      </c>
      <c r="L25" s="7"/>
    </row>
    <row r="26" customFormat="false" ht="35.05" hidden="false" customHeight="false" outlineLevel="0" collapsed="false">
      <c r="A26" s="4" t="n">
        <v>25</v>
      </c>
      <c r="B26" s="5" t="n">
        <v>46308</v>
      </c>
      <c r="C26" s="4" t="s">
        <v>42</v>
      </c>
      <c r="D26" s="8" t="s">
        <v>75</v>
      </c>
      <c r="E26" s="7" t="s">
        <v>85</v>
      </c>
      <c r="F26" s="7" t="s">
        <v>43</v>
      </c>
      <c r="G26" s="7" t="s">
        <v>44</v>
      </c>
      <c r="H26" s="7" t="s">
        <v>88</v>
      </c>
      <c r="I26" s="4" t="s">
        <v>89</v>
      </c>
      <c r="J26" s="4" t="n">
        <v>2</v>
      </c>
      <c r="K26" s="4" t="s">
        <v>31</v>
      </c>
      <c r="L26" s="7"/>
    </row>
    <row r="27" customFormat="false" ht="23.85" hidden="false" customHeight="false" outlineLevel="0" collapsed="false">
      <c r="A27" s="4" t="n">
        <v>26</v>
      </c>
      <c r="B27" s="5" t="n">
        <v>46309</v>
      </c>
      <c r="C27" s="4" t="s">
        <v>47</v>
      </c>
      <c r="D27" s="8" t="s">
        <v>75</v>
      </c>
      <c r="E27" s="7" t="s">
        <v>85</v>
      </c>
      <c r="F27" s="7" t="s">
        <v>48</v>
      </c>
      <c r="G27" s="7" t="s">
        <v>49</v>
      </c>
      <c r="H27" s="7" t="s">
        <v>90</v>
      </c>
      <c r="I27" s="4" t="s">
        <v>69</v>
      </c>
      <c r="J27" s="4" t="n">
        <v>1.5</v>
      </c>
      <c r="K27" s="4" t="s">
        <v>31</v>
      </c>
      <c r="L27" s="7"/>
    </row>
    <row r="28" customFormat="false" ht="23.85" hidden="false" customHeight="false" outlineLevel="0" collapsed="false">
      <c r="A28" s="4" t="n">
        <v>27</v>
      </c>
      <c r="B28" s="5" t="n">
        <v>46310</v>
      </c>
      <c r="C28" s="4" t="s">
        <v>52</v>
      </c>
      <c r="D28" s="8" t="s">
        <v>75</v>
      </c>
      <c r="E28" s="7" t="s">
        <v>85</v>
      </c>
      <c r="F28" s="7" t="s">
        <v>53</v>
      </c>
      <c r="G28" s="7" t="s">
        <v>54</v>
      </c>
      <c r="H28" s="7" t="s">
        <v>91</v>
      </c>
      <c r="I28" s="4" t="s">
        <v>81</v>
      </c>
      <c r="J28" s="4" t="n">
        <v>1.5</v>
      </c>
      <c r="K28" s="4" t="s">
        <v>31</v>
      </c>
      <c r="L28" s="7"/>
    </row>
    <row r="29" customFormat="false" ht="35.05" hidden="false" customHeight="false" outlineLevel="0" collapsed="false">
      <c r="A29" s="4" t="n">
        <v>28</v>
      </c>
      <c r="B29" s="5" t="n">
        <v>46311</v>
      </c>
      <c r="C29" s="4" t="s">
        <v>57</v>
      </c>
      <c r="D29" s="8" t="s">
        <v>75</v>
      </c>
      <c r="E29" s="7" t="s">
        <v>85</v>
      </c>
      <c r="F29" s="7" t="s">
        <v>58</v>
      </c>
      <c r="G29" s="7" t="s">
        <v>59</v>
      </c>
      <c r="H29" s="7" t="s">
        <v>92</v>
      </c>
      <c r="I29" s="4" t="s">
        <v>30</v>
      </c>
      <c r="J29" s="4" t="n">
        <v>1</v>
      </c>
      <c r="K29" s="4" t="s">
        <v>31</v>
      </c>
      <c r="L29" s="7"/>
    </row>
    <row r="30" customFormat="false" ht="23.85" hidden="false" customHeight="false" outlineLevel="0" collapsed="false">
      <c r="A30" s="4" t="n">
        <v>29</v>
      </c>
      <c r="B30" s="5" t="n">
        <v>46312</v>
      </c>
      <c r="C30" s="4" t="s">
        <v>24</v>
      </c>
      <c r="D30" s="8" t="s">
        <v>75</v>
      </c>
      <c r="E30" s="7" t="s">
        <v>85</v>
      </c>
      <c r="F30" s="7" t="s">
        <v>27</v>
      </c>
      <c r="G30" s="7" t="s">
        <v>28</v>
      </c>
      <c r="H30" s="7" t="s">
        <v>93</v>
      </c>
      <c r="I30" s="4" t="s">
        <v>94</v>
      </c>
      <c r="J30" s="4" t="n">
        <v>3</v>
      </c>
      <c r="K30" s="4" t="s">
        <v>31</v>
      </c>
      <c r="L30" s="7"/>
    </row>
    <row r="31" customFormat="false" ht="23.85" hidden="false" customHeight="false" outlineLevel="0" collapsed="false">
      <c r="A31" s="4" t="n">
        <v>30</v>
      </c>
      <c r="B31" s="5" t="n">
        <v>46313</v>
      </c>
      <c r="C31" s="4" t="s">
        <v>32</v>
      </c>
      <c r="D31" s="8" t="s">
        <v>75</v>
      </c>
      <c r="E31" s="7" t="s">
        <v>85</v>
      </c>
      <c r="F31" s="7" t="s">
        <v>27</v>
      </c>
      <c r="G31" s="7" t="s">
        <v>33</v>
      </c>
      <c r="H31" s="7" t="s">
        <v>95</v>
      </c>
      <c r="I31" s="4" t="s">
        <v>30</v>
      </c>
      <c r="J31" s="4" t="n">
        <v>2.5</v>
      </c>
      <c r="K31" s="4" t="s">
        <v>31</v>
      </c>
      <c r="L31" s="7"/>
    </row>
    <row r="32" customFormat="false" ht="23.85" hidden="false" customHeight="false" outlineLevel="0" collapsed="false">
      <c r="A32" s="4" t="n">
        <v>31</v>
      </c>
      <c r="B32" s="5" t="n">
        <v>46314</v>
      </c>
      <c r="C32" s="4" t="s">
        <v>36</v>
      </c>
      <c r="D32" s="8" t="s">
        <v>75</v>
      </c>
      <c r="E32" s="7" t="s">
        <v>96</v>
      </c>
      <c r="F32" s="7" t="s">
        <v>38</v>
      </c>
      <c r="G32" s="7" t="s">
        <v>39</v>
      </c>
      <c r="H32" s="7" t="s">
        <v>97</v>
      </c>
      <c r="I32" s="4" t="s">
        <v>98</v>
      </c>
      <c r="J32" s="4" t="n">
        <v>1.5</v>
      </c>
      <c r="K32" s="4" t="s">
        <v>31</v>
      </c>
      <c r="L32" s="7"/>
    </row>
    <row r="33" customFormat="false" ht="35.05" hidden="false" customHeight="false" outlineLevel="0" collapsed="false">
      <c r="A33" s="4" t="n">
        <v>32</v>
      </c>
      <c r="B33" s="5" t="n">
        <v>46315</v>
      </c>
      <c r="C33" s="4" t="s">
        <v>42</v>
      </c>
      <c r="D33" s="8" t="s">
        <v>75</v>
      </c>
      <c r="E33" s="7" t="s">
        <v>96</v>
      </c>
      <c r="F33" s="7" t="s">
        <v>43</v>
      </c>
      <c r="G33" s="7" t="s">
        <v>44</v>
      </c>
      <c r="H33" s="7" t="s">
        <v>99</v>
      </c>
      <c r="I33" s="4" t="s">
        <v>100</v>
      </c>
      <c r="J33" s="4" t="n">
        <v>2</v>
      </c>
      <c r="K33" s="4" t="s">
        <v>31</v>
      </c>
      <c r="L33" s="7"/>
    </row>
    <row r="34" customFormat="false" ht="23.85" hidden="false" customHeight="false" outlineLevel="0" collapsed="false">
      <c r="A34" s="4" t="n">
        <v>33</v>
      </c>
      <c r="B34" s="5" t="n">
        <v>46316</v>
      </c>
      <c r="C34" s="4" t="s">
        <v>47</v>
      </c>
      <c r="D34" s="8" t="s">
        <v>75</v>
      </c>
      <c r="E34" s="7" t="s">
        <v>96</v>
      </c>
      <c r="F34" s="7" t="s">
        <v>48</v>
      </c>
      <c r="G34" s="7" t="s">
        <v>49</v>
      </c>
      <c r="H34" s="7" t="s">
        <v>101</v>
      </c>
      <c r="I34" s="4" t="s">
        <v>69</v>
      </c>
      <c r="J34" s="4" t="n">
        <v>1.5</v>
      </c>
      <c r="K34" s="4" t="s">
        <v>31</v>
      </c>
      <c r="L34" s="7"/>
    </row>
    <row r="35" customFormat="false" ht="23.85" hidden="false" customHeight="false" outlineLevel="0" collapsed="false">
      <c r="A35" s="4" t="n">
        <v>34</v>
      </c>
      <c r="B35" s="5" t="n">
        <v>46317</v>
      </c>
      <c r="C35" s="4" t="s">
        <v>52</v>
      </c>
      <c r="D35" s="8" t="s">
        <v>75</v>
      </c>
      <c r="E35" s="7" t="s">
        <v>96</v>
      </c>
      <c r="F35" s="7" t="s">
        <v>53</v>
      </c>
      <c r="G35" s="7" t="s">
        <v>54</v>
      </c>
      <c r="H35" s="7" t="s">
        <v>102</v>
      </c>
      <c r="I35" s="4" t="s">
        <v>81</v>
      </c>
      <c r="J35" s="4" t="n">
        <v>1.5</v>
      </c>
      <c r="K35" s="4" t="s">
        <v>31</v>
      </c>
      <c r="L35" s="7"/>
    </row>
    <row r="36" customFormat="false" ht="35.05" hidden="false" customHeight="false" outlineLevel="0" collapsed="false">
      <c r="A36" s="4" t="n">
        <v>35</v>
      </c>
      <c r="B36" s="5" t="n">
        <v>46318</v>
      </c>
      <c r="C36" s="4" t="s">
        <v>57</v>
      </c>
      <c r="D36" s="8" t="s">
        <v>75</v>
      </c>
      <c r="E36" s="7" t="s">
        <v>96</v>
      </c>
      <c r="F36" s="7" t="s">
        <v>58</v>
      </c>
      <c r="G36" s="7" t="s">
        <v>59</v>
      </c>
      <c r="H36" s="7" t="s">
        <v>103</v>
      </c>
      <c r="I36" s="4" t="s">
        <v>30</v>
      </c>
      <c r="J36" s="4" t="n">
        <v>1</v>
      </c>
      <c r="K36" s="4" t="s">
        <v>31</v>
      </c>
      <c r="L36" s="7"/>
    </row>
    <row r="37" customFormat="false" ht="23.85" hidden="false" customHeight="false" outlineLevel="0" collapsed="false">
      <c r="A37" s="4" t="n">
        <v>36</v>
      </c>
      <c r="B37" s="5" t="n">
        <v>46319</v>
      </c>
      <c r="C37" s="4" t="s">
        <v>24</v>
      </c>
      <c r="D37" s="8" t="s">
        <v>75</v>
      </c>
      <c r="E37" s="7" t="s">
        <v>96</v>
      </c>
      <c r="F37" s="7" t="s">
        <v>27</v>
      </c>
      <c r="G37" s="7" t="s">
        <v>28</v>
      </c>
      <c r="H37" s="7" t="s">
        <v>104</v>
      </c>
      <c r="I37" s="4" t="s">
        <v>105</v>
      </c>
      <c r="J37" s="4" t="n">
        <v>3</v>
      </c>
      <c r="K37" s="4" t="s">
        <v>31</v>
      </c>
      <c r="L37" s="7"/>
    </row>
    <row r="38" customFormat="false" ht="23.85" hidden="false" customHeight="false" outlineLevel="0" collapsed="false">
      <c r="A38" s="4" t="n">
        <v>37</v>
      </c>
      <c r="B38" s="5" t="n">
        <v>46320</v>
      </c>
      <c r="C38" s="4" t="s">
        <v>32</v>
      </c>
      <c r="D38" s="8" t="s">
        <v>75</v>
      </c>
      <c r="E38" s="7" t="s">
        <v>96</v>
      </c>
      <c r="F38" s="7" t="s">
        <v>27</v>
      </c>
      <c r="G38" s="7" t="s">
        <v>33</v>
      </c>
      <c r="H38" s="7" t="s">
        <v>106</v>
      </c>
      <c r="I38" s="4" t="s">
        <v>30</v>
      </c>
      <c r="J38" s="4" t="n">
        <v>2.5</v>
      </c>
      <c r="K38" s="4" t="s">
        <v>31</v>
      </c>
      <c r="L38" s="7"/>
    </row>
    <row r="39" customFormat="false" ht="23.85" hidden="false" customHeight="false" outlineLevel="0" collapsed="false">
      <c r="A39" s="4" t="n">
        <v>38</v>
      </c>
      <c r="B39" s="5" t="n">
        <v>46321</v>
      </c>
      <c r="C39" s="4" t="s">
        <v>36</v>
      </c>
      <c r="D39" s="8" t="s">
        <v>75</v>
      </c>
      <c r="E39" s="7" t="s">
        <v>107</v>
      </c>
      <c r="F39" s="7" t="s">
        <v>38</v>
      </c>
      <c r="G39" s="7" t="s">
        <v>39</v>
      </c>
      <c r="H39" s="7" t="s">
        <v>108</v>
      </c>
      <c r="I39" s="4" t="s">
        <v>109</v>
      </c>
      <c r="J39" s="4" t="n">
        <v>1.5</v>
      </c>
      <c r="K39" s="4" t="s">
        <v>31</v>
      </c>
      <c r="L39" s="7"/>
    </row>
    <row r="40" customFormat="false" ht="35.05" hidden="false" customHeight="false" outlineLevel="0" collapsed="false">
      <c r="A40" s="4" t="n">
        <v>39</v>
      </c>
      <c r="B40" s="5" t="n">
        <v>46322</v>
      </c>
      <c r="C40" s="4" t="s">
        <v>42</v>
      </c>
      <c r="D40" s="8" t="s">
        <v>75</v>
      </c>
      <c r="E40" s="7" t="s">
        <v>107</v>
      </c>
      <c r="F40" s="7" t="s">
        <v>43</v>
      </c>
      <c r="G40" s="7" t="s">
        <v>44</v>
      </c>
      <c r="H40" s="7" t="s">
        <v>110</v>
      </c>
      <c r="I40" s="4" t="s">
        <v>111</v>
      </c>
      <c r="J40" s="4" t="n">
        <v>2</v>
      </c>
      <c r="K40" s="4" t="s">
        <v>31</v>
      </c>
      <c r="L40" s="7"/>
    </row>
    <row r="41" customFormat="false" ht="23.85" hidden="false" customHeight="false" outlineLevel="0" collapsed="false">
      <c r="A41" s="4" t="n">
        <v>40</v>
      </c>
      <c r="B41" s="5" t="n">
        <v>46323</v>
      </c>
      <c r="C41" s="4" t="s">
        <v>47</v>
      </c>
      <c r="D41" s="8" t="s">
        <v>75</v>
      </c>
      <c r="E41" s="7" t="s">
        <v>107</v>
      </c>
      <c r="F41" s="7" t="s">
        <v>48</v>
      </c>
      <c r="G41" s="7" t="s">
        <v>49</v>
      </c>
      <c r="H41" s="7" t="s">
        <v>112</v>
      </c>
      <c r="I41" s="4" t="s">
        <v>69</v>
      </c>
      <c r="J41" s="4" t="n">
        <v>1.5</v>
      </c>
      <c r="K41" s="4" t="s">
        <v>31</v>
      </c>
      <c r="L41" s="7"/>
    </row>
    <row r="42" customFormat="false" ht="23.85" hidden="false" customHeight="false" outlineLevel="0" collapsed="false">
      <c r="A42" s="4" t="n">
        <v>41</v>
      </c>
      <c r="B42" s="5" t="n">
        <v>46324</v>
      </c>
      <c r="C42" s="4" t="s">
        <v>52</v>
      </c>
      <c r="D42" s="8" t="s">
        <v>75</v>
      </c>
      <c r="E42" s="7" t="s">
        <v>107</v>
      </c>
      <c r="F42" s="7" t="s">
        <v>53</v>
      </c>
      <c r="G42" s="7" t="s">
        <v>54</v>
      </c>
      <c r="H42" s="7" t="s">
        <v>113</v>
      </c>
      <c r="I42" s="4" t="s">
        <v>114</v>
      </c>
      <c r="J42" s="4" t="n">
        <v>1.5</v>
      </c>
      <c r="K42" s="4" t="s">
        <v>31</v>
      </c>
      <c r="L42" s="7"/>
    </row>
    <row r="43" customFormat="false" ht="35.05" hidden="false" customHeight="false" outlineLevel="0" collapsed="false">
      <c r="A43" s="4" t="n">
        <v>42</v>
      </c>
      <c r="B43" s="5" t="n">
        <v>46325</v>
      </c>
      <c r="C43" s="4" t="s">
        <v>57</v>
      </c>
      <c r="D43" s="8" t="s">
        <v>75</v>
      </c>
      <c r="E43" s="7" t="s">
        <v>107</v>
      </c>
      <c r="F43" s="7" t="s">
        <v>58</v>
      </c>
      <c r="G43" s="7" t="s">
        <v>59</v>
      </c>
      <c r="H43" s="7" t="s">
        <v>115</v>
      </c>
      <c r="I43" s="4" t="s">
        <v>30</v>
      </c>
      <c r="J43" s="4" t="n">
        <v>1</v>
      </c>
      <c r="K43" s="4" t="s">
        <v>31</v>
      </c>
      <c r="L43" s="7"/>
    </row>
    <row r="44" customFormat="false" ht="23.85" hidden="false" customHeight="false" outlineLevel="0" collapsed="false">
      <c r="A44" s="4" t="n">
        <v>43</v>
      </c>
      <c r="B44" s="5" t="n">
        <v>46326</v>
      </c>
      <c r="C44" s="4" t="s">
        <v>24</v>
      </c>
      <c r="D44" s="8" t="s">
        <v>75</v>
      </c>
      <c r="E44" s="7" t="s">
        <v>107</v>
      </c>
      <c r="F44" s="7" t="s">
        <v>27</v>
      </c>
      <c r="G44" s="7" t="s">
        <v>28</v>
      </c>
      <c r="H44" s="7" t="s">
        <v>116</v>
      </c>
      <c r="I44" s="4" t="s">
        <v>30</v>
      </c>
      <c r="J44" s="4" t="n">
        <v>3</v>
      </c>
      <c r="K44" s="4" t="s">
        <v>31</v>
      </c>
      <c r="L44" s="7"/>
    </row>
    <row r="45" customFormat="false" ht="23.85" hidden="false" customHeight="false" outlineLevel="0" collapsed="false">
      <c r="A45" s="4" t="n">
        <v>44</v>
      </c>
      <c r="B45" s="5" t="n">
        <v>46327</v>
      </c>
      <c r="C45" s="4" t="s">
        <v>32</v>
      </c>
      <c r="D45" s="8" t="s">
        <v>75</v>
      </c>
      <c r="E45" s="7" t="s">
        <v>107</v>
      </c>
      <c r="F45" s="7" t="s">
        <v>27</v>
      </c>
      <c r="G45" s="7" t="s">
        <v>33</v>
      </c>
      <c r="H45" s="7" t="s">
        <v>117</v>
      </c>
      <c r="I45" s="4" t="s">
        <v>30</v>
      </c>
      <c r="J45" s="4" t="n">
        <v>2.5</v>
      </c>
      <c r="K45" s="4" t="s">
        <v>31</v>
      </c>
      <c r="L45" s="7"/>
    </row>
    <row r="46" customFormat="false" ht="23.85" hidden="false" customHeight="false" outlineLevel="0" collapsed="false">
      <c r="A46" s="4" t="n">
        <v>45</v>
      </c>
      <c r="B46" s="5" t="n">
        <v>46328</v>
      </c>
      <c r="C46" s="4" t="s">
        <v>36</v>
      </c>
      <c r="D46" s="9" t="s">
        <v>118</v>
      </c>
      <c r="E46" s="7" t="s">
        <v>119</v>
      </c>
      <c r="F46" s="7" t="s">
        <v>38</v>
      </c>
      <c r="G46" s="7" t="s">
        <v>39</v>
      </c>
      <c r="H46" s="7" t="s">
        <v>120</v>
      </c>
      <c r="I46" s="4" t="s">
        <v>121</v>
      </c>
      <c r="J46" s="4" t="n">
        <v>1.5</v>
      </c>
      <c r="K46" s="4" t="s">
        <v>31</v>
      </c>
      <c r="L46" s="7"/>
    </row>
    <row r="47" customFormat="false" ht="35.05" hidden="false" customHeight="false" outlineLevel="0" collapsed="false">
      <c r="A47" s="4" t="n">
        <v>46</v>
      </c>
      <c r="B47" s="5" t="n">
        <v>46329</v>
      </c>
      <c r="C47" s="4" t="s">
        <v>42</v>
      </c>
      <c r="D47" s="9" t="s">
        <v>118</v>
      </c>
      <c r="E47" s="7" t="s">
        <v>119</v>
      </c>
      <c r="F47" s="7" t="s">
        <v>43</v>
      </c>
      <c r="G47" s="7" t="s">
        <v>44</v>
      </c>
      <c r="H47" s="7" t="s">
        <v>122</v>
      </c>
      <c r="I47" s="4" t="s">
        <v>121</v>
      </c>
      <c r="J47" s="4" t="n">
        <v>2</v>
      </c>
      <c r="K47" s="4" t="s">
        <v>31</v>
      </c>
      <c r="L47" s="7"/>
    </row>
    <row r="48" customFormat="false" ht="23.85" hidden="false" customHeight="false" outlineLevel="0" collapsed="false">
      <c r="A48" s="4" t="n">
        <v>47</v>
      </c>
      <c r="B48" s="5" t="n">
        <v>46330</v>
      </c>
      <c r="C48" s="4" t="s">
        <v>47</v>
      </c>
      <c r="D48" s="9" t="s">
        <v>118</v>
      </c>
      <c r="E48" s="7" t="s">
        <v>119</v>
      </c>
      <c r="F48" s="7" t="s">
        <v>48</v>
      </c>
      <c r="G48" s="7" t="s">
        <v>49</v>
      </c>
      <c r="H48" s="7" t="s">
        <v>123</v>
      </c>
      <c r="I48" s="4" t="s">
        <v>69</v>
      </c>
      <c r="J48" s="4" t="n">
        <v>1.5</v>
      </c>
      <c r="K48" s="4" t="s">
        <v>31</v>
      </c>
      <c r="L48" s="7"/>
    </row>
    <row r="49" customFormat="false" ht="23.85" hidden="false" customHeight="false" outlineLevel="0" collapsed="false">
      <c r="A49" s="4" t="n">
        <v>48</v>
      </c>
      <c r="B49" s="5" t="n">
        <v>46331</v>
      </c>
      <c r="C49" s="4" t="s">
        <v>52</v>
      </c>
      <c r="D49" s="9" t="s">
        <v>118</v>
      </c>
      <c r="E49" s="7" t="s">
        <v>119</v>
      </c>
      <c r="F49" s="7" t="s">
        <v>53</v>
      </c>
      <c r="G49" s="7" t="s">
        <v>54</v>
      </c>
      <c r="H49" s="7" t="s">
        <v>124</v>
      </c>
      <c r="I49" s="4" t="s">
        <v>125</v>
      </c>
      <c r="J49" s="4" t="n">
        <v>1.5</v>
      </c>
      <c r="K49" s="4" t="s">
        <v>31</v>
      </c>
      <c r="L49" s="7"/>
    </row>
    <row r="50" customFormat="false" ht="35.05" hidden="false" customHeight="false" outlineLevel="0" collapsed="false">
      <c r="A50" s="4" t="n">
        <v>49</v>
      </c>
      <c r="B50" s="5" t="n">
        <v>46332</v>
      </c>
      <c r="C50" s="4" t="s">
        <v>57</v>
      </c>
      <c r="D50" s="9" t="s">
        <v>118</v>
      </c>
      <c r="E50" s="7" t="s">
        <v>119</v>
      </c>
      <c r="F50" s="7" t="s">
        <v>58</v>
      </c>
      <c r="G50" s="7" t="s">
        <v>59</v>
      </c>
      <c r="H50" s="7" t="s">
        <v>126</v>
      </c>
      <c r="I50" s="4" t="s">
        <v>30</v>
      </c>
      <c r="J50" s="4" t="n">
        <v>1</v>
      </c>
      <c r="K50" s="4" t="s">
        <v>31</v>
      </c>
      <c r="L50" s="7"/>
    </row>
    <row r="51" customFormat="false" ht="15" hidden="false" customHeight="false" outlineLevel="0" collapsed="false">
      <c r="A51" s="4" t="n">
        <v>50</v>
      </c>
      <c r="B51" s="5" t="n">
        <v>46333</v>
      </c>
      <c r="C51" s="4" t="s">
        <v>24</v>
      </c>
      <c r="D51" s="9" t="s">
        <v>118</v>
      </c>
      <c r="E51" s="7" t="s">
        <v>119</v>
      </c>
      <c r="F51" s="7" t="s">
        <v>27</v>
      </c>
      <c r="G51" s="7" t="s">
        <v>28</v>
      </c>
      <c r="H51" s="7" t="s">
        <v>127</v>
      </c>
      <c r="I51" s="4" t="s">
        <v>30</v>
      </c>
      <c r="J51" s="4" t="n">
        <v>3</v>
      </c>
      <c r="K51" s="4" t="s">
        <v>31</v>
      </c>
      <c r="L51" s="7"/>
    </row>
    <row r="52" customFormat="false" ht="23.85" hidden="false" customHeight="false" outlineLevel="0" collapsed="false">
      <c r="A52" s="4" t="n">
        <v>51</v>
      </c>
      <c r="B52" s="5" t="n">
        <v>46334</v>
      </c>
      <c r="C52" s="4" t="s">
        <v>32</v>
      </c>
      <c r="D52" s="9" t="s">
        <v>118</v>
      </c>
      <c r="E52" s="7" t="s">
        <v>119</v>
      </c>
      <c r="F52" s="7" t="s">
        <v>27</v>
      </c>
      <c r="G52" s="7" t="s">
        <v>33</v>
      </c>
      <c r="H52" s="7" t="s">
        <v>128</v>
      </c>
      <c r="I52" s="4" t="s">
        <v>30</v>
      </c>
      <c r="J52" s="4" t="n">
        <v>2.5</v>
      </c>
      <c r="K52" s="4" t="s">
        <v>31</v>
      </c>
      <c r="L52" s="7"/>
    </row>
    <row r="53" customFormat="false" ht="23.85" hidden="false" customHeight="false" outlineLevel="0" collapsed="false">
      <c r="A53" s="4" t="n">
        <v>52</v>
      </c>
      <c r="B53" s="5" t="n">
        <v>46335</v>
      </c>
      <c r="C53" s="4" t="s">
        <v>36</v>
      </c>
      <c r="D53" s="9" t="s">
        <v>118</v>
      </c>
      <c r="E53" s="7" t="s">
        <v>129</v>
      </c>
      <c r="F53" s="7" t="s">
        <v>38</v>
      </c>
      <c r="G53" s="7" t="s">
        <v>39</v>
      </c>
      <c r="H53" s="7" t="s">
        <v>130</v>
      </c>
      <c r="I53" s="4" t="s">
        <v>30</v>
      </c>
      <c r="J53" s="4" t="n">
        <v>1.5</v>
      </c>
      <c r="K53" s="4" t="s">
        <v>31</v>
      </c>
      <c r="L53" s="7"/>
    </row>
    <row r="54" customFormat="false" ht="35.05" hidden="false" customHeight="false" outlineLevel="0" collapsed="false">
      <c r="A54" s="4" t="n">
        <v>53</v>
      </c>
      <c r="B54" s="5" t="n">
        <v>46336</v>
      </c>
      <c r="C54" s="4" t="s">
        <v>42</v>
      </c>
      <c r="D54" s="9" t="s">
        <v>118</v>
      </c>
      <c r="E54" s="7" t="s">
        <v>129</v>
      </c>
      <c r="F54" s="7" t="s">
        <v>43</v>
      </c>
      <c r="G54" s="7" t="s">
        <v>44</v>
      </c>
      <c r="H54" s="7" t="s">
        <v>131</v>
      </c>
      <c r="I54" s="4" t="s">
        <v>30</v>
      </c>
      <c r="J54" s="4" t="n">
        <v>2</v>
      </c>
      <c r="K54" s="4" t="s">
        <v>31</v>
      </c>
      <c r="L54" s="7"/>
    </row>
    <row r="55" customFormat="false" ht="23.85" hidden="false" customHeight="false" outlineLevel="0" collapsed="false">
      <c r="A55" s="4" t="n">
        <v>54</v>
      </c>
      <c r="B55" s="5" t="n">
        <v>46337</v>
      </c>
      <c r="C55" s="4" t="s">
        <v>47</v>
      </c>
      <c r="D55" s="9" t="s">
        <v>118</v>
      </c>
      <c r="E55" s="7" t="s">
        <v>129</v>
      </c>
      <c r="F55" s="7" t="s">
        <v>48</v>
      </c>
      <c r="G55" s="7" t="s">
        <v>49</v>
      </c>
      <c r="H55" s="7" t="s">
        <v>132</v>
      </c>
      <c r="I55" s="4" t="s">
        <v>69</v>
      </c>
      <c r="J55" s="4" t="n">
        <v>1.5</v>
      </c>
      <c r="K55" s="4" t="s">
        <v>31</v>
      </c>
      <c r="L55" s="7"/>
    </row>
    <row r="56" customFormat="false" ht="23.85" hidden="false" customHeight="false" outlineLevel="0" collapsed="false">
      <c r="A56" s="4" t="n">
        <v>55</v>
      </c>
      <c r="B56" s="5" t="n">
        <v>46338</v>
      </c>
      <c r="C56" s="4" t="s">
        <v>52</v>
      </c>
      <c r="D56" s="9" t="s">
        <v>118</v>
      </c>
      <c r="E56" s="7" t="s">
        <v>129</v>
      </c>
      <c r="F56" s="7" t="s">
        <v>53</v>
      </c>
      <c r="G56" s="7" t="s">
        <v>54</v>
      </c>
      <c r="H56" s="7" t="s">
        <v>133</v>
      </c>
      <c r="I56" s="4" t="s">
        <v>134</v>
      </c>
      <c r="J56" s="4" t="n">
        <v>1.5</v>
      </c>
      <c r="K56" s="4" t="s">
        <v>31</v>
      </c>
      <c r="L56" s="7"/>
    </row>
    <row r="57" customFormat="false" ht="35.05" hidden="false" customHeight="false" outlineLevel="0" collapsed="false">
      <c r="A57" s="4" t="n">
        <v>56</v>
      </c>
      <c r="B57" s="5" t="n">
        <v>46339</v>
      </c>
      <c r="C57" s="4" t="s">
        <v>57</v>
      </c>
      <c r="D57" s="9" t="s">
        <v>118</v>
      </c>
      <c r="E57" s="7" t="s">
        <v>129</v>
      </c>
      <c r="F57" s="7" t="s">
        <v>58</v>
      </c>
      <c r="G57" s="7" t="s">
        <v>59</v>
      </c>
      <c r="H57" s="7" t="s">
        <v>135</v>
      </c>
      <c r="I57" s="4" t="s">
        <v>30</v>
      </c>
      <c r="J57" s="4" t="n">
        <v>1</v>
      </c>
      <c r="K57" s="4" t="s">
        <v>31</v>
      </c>
      <c r="L57" s="7"/>
    </row>
    <row r="58" customFormat="false" ht="23.85" hidden="false" customHeight="false" outlineLevel="0" collapsed="false">
      <c r="A58" s="4" t="n">
        <v>57</v>
      </c>
      <c r="B58" s="5" t="n">
        <v>46340</v>
      </c>
      <c r="C58" s="4" t="s">
        <v>24</v>
      </c>
      <c r="D58" s="9" t="s">
        <v>118</v>
      </c>
      <c r="E58" s="7" t="s">
        <v>129</v>
      </c>
      <c r="F58" s="7" t="s">
        <v>27</v>
      </c>
      <c r="G58" s="7" t="s">
        <v>28</v>
      </c>
      <c r="H58" s="7" t="s">
        <v>136</v>
      </c>
      <c r="I58" s="4" t="s">
        <v>30</v>
      </c>
      <c r="J58" s="4" t="n">
        <v>3</v>
      </c>
      <c r="K58" s="4" t="s">
        <v>31</v>
      </c>
      <c r="L58" s="7"/>
    </row>
    <row r="59" customFormat="false" ht="23.85" hidden="false" customHeight="false" outlineLevel="0" collapsed="false">
      <c r="A59" s="4" t="n">
        <v>58</v>
      </c>
      <c r="B59" s="5" t="n">
        <v>46341</v>
      </c>
      <c r="C59" s="4" t="s">
        <v>32</v>
      </c>
      <c r="D59" s="9" t="s">
        <v>118</v>
      </c>
      <c r="E59" s="7" t="s">
        <v>129</v>
      </c>
      <c r="F59" s="7" t="s">
        <v>27</v>
      </c>
      <c r="G59" s="7" t="s">
        <v>33</v>
      </c>
      <c r="H59" s="7" t="s">
        <v>137</v>
      </c>
      <c r="I59" s="4" t="s">
        <v>30</v>
      </c>
      <c r="J59" s="4" t="n">
        <v>2.5</v>
      </c>
      <c r="K59" s="4" t="s">
        <v>31</v>
      </c>
      <c r="L59" s="7"/>
    </row>
    <row r="60" customFormat="false" ht="23.85" hidden="false" customHeight="false" outlineLevel="0" collapsed="false">
      <c r="A60" s="4" t="n">
        <v>59</v>
      </c>
      <c r="B60" s="5" t="n">
        <v>46342</v>
      </c>
      <c r="C60" s="4" t="s">
        <v>36</v>
      </c>
      <c r="D60" s="10" t="s">
        <v>138</v>
      </c>
      <c r="E60" s="7" t="s">
        <v>139</v>
      </c>
      <c r="F60" s="7" t="s">
        <v>38</v>
      </c>
      <c r="G60" s="7" t="s">
        <v>39</v>
      </c>
      <c r="H60" s="7" t="s">
        <v>140</v>
      </c>
      <c r="I60" s="4" t="s">
        <v>30</v>
      </c>
      <c r="J60" s="4" t="n">
        <v>1.5</v>
      </c>
      <c r="K60" s="4" t="s">
        <v>31</v>
      </c>
      <c r="L60" s="7"/>
    </row>
    <row r="61" customFormat="false" ht="35.05" hidden="false" customHeight="false" outlineLevel="0" collapsed="false">
      <c r="A61" s="4" t="n">
        <v>60</v>
      </c>
      <c r="B61" s="5" t="n">
        <v>46343</v>
      </c>
      <c r="C61" s="4" t="s">
        <v>42</v>
      </c>
      <c r="D61" s="10" t="s">
        <v>138</v>
      </c>
      <c r="E61" s="7" t="s">
        <v>139</v>
      </c>
      <c r="F61" s="7" t="s">
        <v>43</v>
      </c>
      <c r="G61" s="7" t="s">
        <v>44</v>
      </c>
      <c r="H61" s="7" t="s">
        <v>141</v>
      </c>
      <c r="I61" s="4" t="s">
        <v>30</v>
      </c>
      <c r="J61" s="4" t="n">
        <v>2</v>
      </c>
      <c r="K61" s="4" t="s">
        <v>31</v>
      </c>
      <c r="L61" s="7"/>
    </row>
    <row r="62" customFormat="false" ht="23.85" hidden="false" customHeight="false" outlineLevel="0" collapsed="false">
      <c r="A62" s="4" t="n">
        <v>61</v>
      </c>
      <c r="B62" s="5" t="n">
        <v>46344</v>
      </c>
      <c r="C62" s="4" t="s">
        <v>47</v>
      </c>
      <c r="D62" s="10" t="s">
        <v>138</v>
      </c>
      <c r="E62" s="7" t="s">
        <v>139</v>
      </c>
      <c r="F62" s="7" t="s">
        <v>48</v>
      </c>
      <c r="G62" s="7" t="s">
        <v>49</v>
      </c>
      <c r="H62" s="7" t="s">
        <v>142</v>
      </c>
      <c r="I62" s="4" t="s">
        <v>30</v>
      </c>
      <c r="J62" s="4" t="n">
        <v>1.5</v>
      </c>
      <c r="K62" s="4" t="s">
        <v>31</v>
      </c>
      <c r="L62" s="7"/>
    </row>
    <row r="63" customFormat="false" ht="23.85" hidden="false" customHeight="false" outlineLevel="0" collapsed="false">
      <c r="A63" s="4" t="n">
        <v>62</v>
      </c>
      <c r="B63" s="5" t="n">
        <v>46345</v>
      </c>
      <c r="C63" s="4" t="s">
        <v>52</v>
      </c>
      <c r="D63" s="10" t="s">
        <v>138</v>
      </c>
      <c r="E63" s="7" t="s">
        <v>139</v>
      </c>
      <c r="F63" s="7" t="s">
        <v>53</v>
      </c>
      <c r="G63" s="7" t="s">
        <v>54</v>
      </c>
      <c r="H63" s="7" t="s">
        <v>143</v>
      </c>
      <c r="I63" s="4" t="s">
        <v>30</v>
      </c>
      <c r="J63" s="4" t="n">
        <v>1.5</v>
      </c>
      <c r="K63" s="4" t="s">
        <v>31</v>
      </c>
      <c r="L63" s="7"/>
    </row>
    <row r="64" customFormat="false" ht="35.05" hidden="false" customHeight="false" outlineLevel="0" collapsed="false">
      <c r="A64" s="4" t="n">
        <v>63</v>
      </c>
      <c r="B64" s="5" t="n">
        <v>46346</v>
      </c>
      <c r="C64" s="4" t="s">
        <v>57</v>
      </c>
      <c r="D64" s="10" t="s">
        <v>138</v>
      </c>
      <c r="E64" s="7" t="s">
        <v>139</v>
      </c>
      <c r="F64" s="7" t="s">
        <v>58</v>
      </c>
      <c r="G64" s="7" t="s">
        <v>59</v>
      </c>
      <c r="H64" s="7" t="s">
        <v>144</v>
      </c>
      <c r="I64" s="4" t="s">
        <v>30</v>
      </c>
      <c r="J64" s="4" t="n">
        <v>1</v>
      </c>
      <c r="K64" s="4" t="s">
        <v>31</v>
      </c>
      <c r="L64" s="7"/>
    </row>
    <row r="65" customFormat="false" ht="23.85" hidden="false" customHeight="false" outlineLevel="0" collapsed="false">
      <c r="A65" s="4" t="n">
        <v>64</v>
      </c>
      <c r="B65" s="5" t="n">
        <v>46347</v>
      </c>
      <c r="C65" s="4" t="s">
        <v>24</v>
      </c>
      <c r="D65" s="10" t="s">
        <v>138</v>
      </c>
      <c r="E65" s="7" t="s">
        <v>139</v>
      </c>
      <c r="F65" s="7" t="s">
        <v>27</v>
      </c>
      <c r="G65" s="7" t="s">
        <v>28</v>
      </c>
      <c r="H65" s="7" t="s">
        <v>145</v>
      </c>
      <c r="I65" s="4" t="s">
        <v>30</v>
      </c>
      <c r="J65" s="4" t="n">
        <v>3</v>
      </c>
      <c r="K65" s="4" t="s">
        <v>31</v>
      </c>
      <c r="L65" s="7"/>
    </row>
    <row r="66" customFormat="false" ht="23.85" hidden="false" customHeight="false" outlineLevel="0" collapsed="false">
      <c r="A66" s="4" t="n">
        <v>65</v>
      </c>
      <c r="B66" s="5" t="n">
        <v>46348</v>
      </c>
      <c r="C66" s="4" t="s">
        <v>32</v>
      </c>
      <c r="D66" s="10" t="s">
        <v>138</v>
      </c>
      <c r="E66" s="7" t="s">
        <v>139</v>
      </c>
      <c r="F66" s="7" t="s">
        <v>27</v>
      </c>
      <c r="G66" s="7" t="s">
        <v>33</v>
      </c>
      <c r="H66" s="7" t="s">
        <v>146</v>
      </c>
      <c r="I66" s="4" t="s">
        <v>30</v>
      </c>
      <c r="J66" s="4" t="n">
        <v>2.5</v>
      </c>
      <c r="K66" s="4" t="s">
        <v>31</v>
      </c>
      <c r="L66" s="7"/>
    </row>
    <row r="67" customFormat="false" ht="23.85" hidden="false" customHeight="false" outlineLevel="0" collapsed="false">
      <c r="A67" s="4" t="n">
        <v>66</v>
      </c>
      <c r="B67" s="5" t="n">
        <v>46349</v>
      </c>
      <c r="C67" s="4" t="s">
        <v>36</v>
      </c>
      <c r="D67" s="10" t="s">
        <v>138</v>
      </c>
      <c r="E67" s="7" t="s">
        <v>147</v>
      </c>
      <c r="F67" s="7" t="s">
        <v>38</v>
      </c>
      <c r="G67" s="7" t="s">
        <v>39</v>
      </c>
      <c r="H67" s="7" t="s">
        <v>148</v>
      </c>
      <c r="I67" s="4" t="s">
        <v>30</v>
      </c>
      <c r="J67" s="4" t="n">
        <v>1.5</v>
      </c>
      <c r="K67" s="4" t="s">
        <v>31</v>
      </c>
      <c r="L67" s="7"/>
    </row>
    <row r="68" customFormat="false" ht="35.05" hidden="false" customHeight="false" outlineLevel="0" collapsed="false">
      <c r="A68" s="4" t="n">
        <v>67</v>
      </c>
      <c r="B68" s="5" t="n">
        <v>46350</v>
      </c>
      <c r="C68" s="4" t="s">
        <v>42</v>
      </c>
      <c r="D68" s="10" t="s">
        <v>138</v>
      </c>
      <c r="E68" s="7" t="s">
        <v>147</v>
      </c>
      <c r="F68" s="7" t="s">
        <v>43</v>
      </c>
      <c r="G68" s="7" t="s">
        <v>44</v>
      </c>
      <c r="H68" s="7" t="s">
        <v>149</v>
      </c>
      <c r="I68" s="4" t="s">
        <v>30</v>
      </c>
      <c r="J68" s="4" t="n">
        <v>2</v>
      </c>
      <c r="K68" s="4" t="s">
        <v>31</v>
      </c>
      <c r="L68" s="7"/>
    </row>
    <row r="69" customFormat="false" ht="23.85" hidden="false" customHeight="false" outlineLevel="0" collapsed="false">
      <c r="A69" s="4" t="n">
        <v>68</v>
      </c>
      <c r="B69" s="5" t="n">
        <v>46351</v>
      </c>
      <c r="C69" s="4" t="s">
        <v>47</v>
      </c>
      <c r="D69" s="10" t="s">
        <v>138</v>
      </c>
      <c r="E69" s="7" t="s">
        <v>147</v>
      </c>
      <c r="F69" s="7" t="s">
        <v>48</v>
      </c>
      <c r="G69" s="7" t="s">
        <v>49</v>
      </c>
      <c r="H69" s="7" t="s">
        <v>150</v>
      </c>
      <c r="I69" s="4" t="s">
        <v>30</v>
      </c>
      <c r="J69" s="4" t="n">
        <v>1.5</v>
      </c>
      <c r="K69" s="4" t="s">
        <v>31</v>
      </c>
      <c r="L69" s="7"/>
    </row>
    <row r="70" customFormat="false" ht="23.85" hidden="false" customHeight="false" outlineLevel="0" collapsed="false">
      <c r="A70" s="4" t="n">
        <v>69</v>
      </c>
      <c r="B70" s="5" t="n">
        <v>46352</v>
      </c>
      <c r="C70" s="4" t="s">
        <v>52</v>
      </c>
      <c r="D70" s="10" t="s">
        <v>138</v>
      </c>
      <c r="E70" s="7" t="s">
        <v>147</v>
      </c>
      <c r="F70" s="7" t="s">
        <v>53</v>
      </c>
      <c r="G70" s="7" t="s">
        <v>54</v>
      </c>
      <c r="H70" s="7" t="s">
        <v>151</v>
      </c>
      <c r="I70" s="4" t="s">
        <v>30</v>
      </c>
      <c r="J70" s="4" t="n">
        <v>1.5</v>
      </c>
      <c r="K70" s="4" t="s">
        <v>31</v>
      </c>
      <c r="L70" s="7"/>
    </row>
    <row r="71" customFormat="false" ht="35.05" hidden="false" customHeight="false" outlineLevel="0" collapsed="false">
      <c r="A71" s="4" t="n">
        <v>70</v>
      </c>
      <c r="B71" s="5" t="n">
        <v>46353</v>
      </c>
      <c r="C71" s="4" t="s">
        <v>57</v>
      </c>
      <c r="D71" s="10" t="s">
        <v>138</v>
      </c>
      <c r="E71" s="7" t="s">
        <v>147</v>
      </c>
      <c r="F71" s="7" t="s">
        <v>58</v>
      </c>
      <c r="G71" s="7" t="s">
        <v>59</v>
      </c>
      <c r="H71" s="7" t="s">
        <v>144</v>
      </c>
      <c r="I71" s="4" t="s">
        <v>30</v>
      </c>
      <c r="J71" s="4" t="n">
        <v>1</v>
      </c>
      <c r="K71" s="4" t="s">
        <v>31</v>
      </c>
      <c r="L71" s="7"/>
    </row>
    <row r="72" customFormat="false" ht="23.85" hidden="false" customHeight="false" outlineLevel="0" collapsed="false">
      <c r="A72" s="4" t="n">
        <v>71</v>
      </c>
      <c r="B72" s="5" t="n">
        <v>46354</v>
      </c>
      <c r="C72" s="4" t="s">
        <v>24</v>
      </c>
      <c r="D72" s="10" t="s">
        <v>138</v>
      </c>
      <c r="E72" s="7" t="s">
        <v>147</v>
      </c>
      <c r="F72" s="7" t="s">
        <v>27</v>
      </c>
      <c r="G72" s="7" t="s">
        <v>28</v>
      </c>
      <c r="H72" s="7" t="s">
        <v>145</v>
      </c>
      <c r="I72" s="4" t="s">
        <v>30</v>
      </c>
      <c r="J72" s="4" t="n">
        <v>3</v>
      </c>
      <c r="K72" s="4" t="s">
        <v>31</v>
      </c>
      <c r="L72" s="7"/>
    </row>
    <row r="73" customFormat="false" ht="23.85" hidden="false" customHeight="false" outlineLevel="0" collapsed="false">
      <c r="A73" s="4" t="n">
        <v>72</v>
      </c>
      <c r="B73" s="5" t="n">
        <v>46355</v>
      </c>
      <c r="C73" s="4" t="s">
        <v>32</v>
      </c>
      <c r="D73" s="10" t="s">
        <v>138</v>
      </c>
      <c r="E73" s="7" t="s">
        <v>147</v>
      </c>
      <c r="F73" s="7" t="s">
        <v>27</v>
      </c>
      <c r="G73" s="7" t="s">
        <v>33</v>
      </c>
      <c r="H73" s="7" t="s">
        <v>146</v>
      </c>
      <c r="I73" s="4" t="s">
        <v>30</v>
      </c>
      <c r="J73" s="4" t="n">
        <v>2.5</v>
      </c>
      <c r="K73" s="4" t="s">
        <v>31</v>
      </c>
      <c r="L73" s="7"/>
    </row>
    <row r="74" customFormat="false" ht="23.85" hidden="false" customHeight="false" outlineLevel="0" collapsed="false">
      <c r="A74" s="4" t="n">
        <v>73</v>
      </c>
      <c r="B74" s="5" t="n">
        <v>46356</v>
      </c>
      <c r="C74" s="4" t="s">
        <v>36</v>
      </c>
      <c r="D74" s="10" t="s">
        <v>138</v>
      </c>
      <c r="E74" s="7" t="s">
        <v>152</v>
      </c>
      <c r="F74" s="7" t="s">
        <v>38</v>
      </c>
      <c r="G74" s="7" t="s">
        <v>39</v>
      </c>
      <c r="H74" s="7" t="s">
        <v>153</v>
      </c>
      <c r="I74" s="4" t="s">
        <v>30</v>
      </c>
      <c r="J74" s="4" t="n">
        <v>1.5</v>
      </c>
      <c r="K74" s="4" t="s">
        <v>31</v>
      </c>
      <c r="L74" s="7"/>
    </row>
    <row r="75" customFormat="false" ht="35.05" hidden="false" customHeight="false" outlineLevel="0" collapsed="false">
      <c r="A75" s="4" t="n">
        <v>74</v>
      </c>
      <c r="B75" s="5" t="n">
        <v>46357</v>
      </c>
      <c r="C75" s="4" t="s">
        <v>42</v>
      </c>
      <c r="D75" s="10" t="s">
        <v>138</v>
      </c>
      <c r="E75" s="7" t="s">
        <v>152</v>
      </c>
      <c r="F75" s="7" t="s">
        <v>43</v>
      </c>
      <c r="G75" s="7" t="s">
        <v>44</v>
      </c>
      <c r="H75" s="7" t="s">
        <v>154</v>
      </c>
      <c r="I75" s="4" t="s">
        <v>30</v>
      </c>
      <c r="J75" s="4" t="n">
        <v>2</v>
      </c>
      <c r="K75" s="4" t="s">
        <v>31</v>
      </c>
      <c r="L75" s="7"/>
    </row>
    <row r="76" customFormat="false" ht="23.85" hidden="false" customHeight="false" outlineLevel="0" collapsed="false">
      <c r="A76" s="4" t="n">
        <v>75</v>
      </c>
      <c r="B76" s="5" t="n">
        <v>46358</v>
      </c>
      <c r="C76" s="4" t="s">
        <v>47</v>
      </c>
      <c r="D76" s="10" t="s">
        <v>138</v>
      </c>
      <c r="E76" s="7" t="s">
        <v>152</v>
      </c>
      <c r="F76" s="7" t="s">
        <v>48</v>
      </c>
      <c r="G76" s="7" t="s">
        <v>49</v>
      </c>
      <c r="H76" s="7" t="s">
        <v>155</v>
      </c>
      <c r="I76" s="4" t="s">
        <v>30</v>
      </c>
      <c r="J76" s="4" t="n">
        <v>1.5</v>
      </c>
      <c r="K76" s="4" t="s">
        <v>31</v>
      </c>
      <c r="L76" s="7"/>
    </row>
    <row r="77" customFormat="false" ht="23.85" hidden="false" customHeight="false" outlineLevel="0" collapsed="false">
      <c r="A77" s="4" t="n">
        <v>76</v>
      </c>
      <c r="B77" s="5" t="n">
        <v>46359</v>
      </c>
      <c r="C77" s="4" t="s">
        <v>52</v>
      </c>
      <c r="D77" s="10" t="s">
        <v>138</v>
      </c>
      <c r="E77" s="7" t="s">
        <v>152</v>
      </c>
      <c r="F77" s="7" t="s">
        <v>53</v>
      </c>
      <c r="G77" s="7" t="s">
        <v>54</v>
      </c>
      <c r="H77" s="7" t="s">
        <v>156</v>
      </c>
      <c r="I77" s="4" t="s">
        <v>30</v>
      </c>
      <c r="J77" s="4" t="n">
        <v>1.5</v>
      </c>
      <c r="K77" s="4" t="s">
        <v>31</v>
      </c>
      <c r="L77" s="7"/>
    </row>
    <row r="78" customFormat="false" ht="35.05" hidden="false" customHeight="false" outlineLevel="0" collapsed="false">
      <c r="A78" s="4" t="n">
        <v>77</v>
      </c>
      <c r="B78" s="5" t="n">
        <v>46360</v>
      </c>
      <c r="C78" s="4" t="s">
        <v>57</v>
      </c>
      <c r="D78" s="10" t="s">
        <v>138</v>
      </c>
      <c r="E78" s="7" t="s">
        <v>152</v>
      </c>
      <c r="F78" s="7" t="s">
        <v>58</v>
      </c>
      <c r="G78" s="7" t="s">
        <v>59</v>
      </c>
      <c r="H78" s="7" t="s">
        <v>157</v>
      </c>
      <c r="I78" s="4" t="s">
        <v>30</v>
      </c>
      <c r="J78" s="4" t="n">
        <v>1</v>
      </c>
      <c r="K78" s="4" t="s">
        <v>31</v>
      </c>
      <c r="L78" s="7"/>
    </row>
    <row r="79" customFormat="false" ht="23.85" hidden="false" customHeight="false" outlineLevel="0" collapsed="false">
      <c r="A79" s="4" t="n">
        <v>78</v>
      </c>
      <c r="B79" s="5" t="n">
        <v>46361</v>
      </c>
      <c r="C79" s="4" t="s">
        <v>24</v>
      </c>
      <c r="D79" s="10" t="s">
        <v>138</v>
      </c>
      <c r="E79" s="7" t="s">
        <v>152</v>
      </c>
      <c r="F79" s="7" t="s">
        <v>27</v>
      </c>
      <c r="G79" s="7" t="s">
        <v>28</v>
      </c>
      <c r="H79" s="7" t="s">
        <v>158</v>
      </c>
      <c r="I79" s="4" t="s">
        <v>30</v>
      </c>
      <c r="J79" s="4" t="n">
        <v>3</v>
      </c>
      <c r="K79" s="4" t="s">
        <v>31</v>
      </c>
      <c r="L79" s="7"/>
    </row>
    <row r="80" customFormat="false" ht="23.85" hidden="false" customHeight="false" outlineLevel="0" collapsed="false">
      <c r="A80" s="4" t="n">
        <v>79</v>
      </c>
      <c r="B80" s="5" t="n">
        <v>46362</v>
      </c>
      <c r="C80" s="4" t="s">
        <v>32</v>
      </c>
      <c r="D80" s="10" t="s">
        <v>138</v>
      </c>
      <c r="E80" s="7" t="s">
        <v>152</v>
      </c>
      <c r="F80" s="7" t="s">
        <v>27</v>
      </c>
      <c r="G80" s="7" t="s">
        <v>33</v>
      </c>
      <c r="H80" s="7" t="s">
        <v>159</v>
      </c>
      <c r="I80" s="4" t="s">
        <v>30</v>
      </c>
      <c r="J80" s="4" t="n">
        <v>2.5</v>
      </c>
      <c r="K80" s="4" t="s">
        <v>31</v>
      </c>
      <c r="L80" s="7"/>
    </row>
    <row r="81" customFormat="false" ht="23.85" hidden="false" customHeight="false" outlineLevel="0" collapsed="false">
      <c r="A81" s="4" t="n">
        <v>80</v>
      </c>
      <c r="B81" s="5" t="n">
        <v>46363</v>
      </c>
      <c r="C81" s="4" t="s">
        <v>36</v>
      </c>
      <c r="D81" s="10" t="s">
        <v>138</v>
      </c>
      <c r="E81" s="7" t="s">
        <v>160</v>
      </c>
      <c r="F81" s="7" t="s">
        <v>38</v>
      </c>
      <c r="G81" s="7" t="s">
        <v>39</v>
      </c>
      <c r="H81" s="7" t="s">
        <v>161</v>
      </c>
      <c r="I81" s="4" t="s">
        <v>30</v>
      </c>
      <c r="J81" s="4" t="n">
        <v>1.5</v>
      </c>
      <c r="K81" s="4" t="s">
        <v>31</v>
      </c>
      <c r="L81" s="7"/>
    </row>
    <row r="82" customFormat="false" ht="35.05" hidden="false" customHeight="false" outlineLevel="0" collapsed="false">
      <c r="A82" s="4" t="n">
        <v>81</v>
      </c>
      <c r="B82" s="5" t="n">
        <v>46364</v>
      </c>
      <c r="C82" s="4" t="s">
        <v>42</v>
      </c>
      <c r="D82" s="10" t="s">
        <v>138</v>
      </c>
      <c r="E82" s="7" t="s">
        <v>160</v>
      </c>
      <c r="F82" s="7" t="s">
        <v>43</v>
      </c>
      <c r="G82" s="7" t="s">
        <v>44</v>
      </c>
      <c r="H82" s="7" t="s">
        <v>162</v>
      </c>
      <c r="I82" s="4" t="s">
        <v>30</v>
      </c>
      <c r="J82" s="4" t="n">
        <v>2</v>
      </c>
      <c r="K82" s="4" t="s">
        <v>31</v>
      </c>
      <c r="L82" s="7"/>
    </row>
    <row r="83" customFormat="false" ht="23.85" hidden="false" customHeight="false" outlineLevel="0" collapsed="false">
      <c r="A83" s="4" t="n">
        <v>82</v>
      </c>
      <c r="B83" s="5" t="n">
        <v>46365</v>
      </c>
      <c r="C83" s="4" t="s">
        <v>47</v>
      </c>
      <c r="D83" s="10" t="s">
        <v>138</v>
      </c>
      <c r="E83" s="7" t="s">
        <v>160</v>
      </c>
      <c r="F83" s="7" t="s">
        <v>48</v>
      </c>
      <c r="G83" s="7" t="s">
        <v>49</v>
      </c>
      <c r="H83" s="7" t="s">
        <v>163</v>
      </c>
      <c r="I83" s="4" t="s">
        <v>30</v>
      </c>
      <c r="J83" s="4" t="n">
        <v>1.5</v>
      </c>
      <c r="K83" s="4" t="s">
        <v>31</v>
      </c>
      <c r="L83" s="7"/>
    </row>
    <row r="84" customFormat="false" ht="23.85" hidden="false" customHeight="false" outlineLevel="0" collapsed="false">
      <c r="A84" s="4" t="n">
        <v>83</v>
      </c>
      <c r="B84" s="5" t="n">
        <v>46366</v>
      </c>
      <c r="C84" s="4" t="s">
        <v>52</v>
      </c>
      <c r="D84" s="10" t="s">
        <v>138</v>
      </c>
      <c r="E84" s="7" t="s">
        <v>160</v>
      </c>
      <c r="F84" s="7" t="s">
        <v>53</v>
      </c>
      <c r="G84" s="7" t="s">
        <v>54</v>
      </c>
      <c r="H84" s="7" t="s">
        <v>164</v>
      </c>
      <c r="I84" s="4" t="s">
        <v>30</v>
      </c>
      <c r="J84" s="4" t="n">
        <v>1.5</v>
      </c>
      <c r="K84" s="4" t="s">
        <v>31</v>
      </c>
      <c r="L84" s="7"/>
    </row>
    <row r="85" customFormat="false" ht="35.05" hidden="false" customHeight="false" outlineLevel="0" collapsed="false">
      <c r="A85" s="4" t="n">
        <v>84</v>
      </c>
      <c r="B85" s="5" t="n">
        <v>46367</v>
      </c>
      <c r="C85" s="4" t="s">
        <v>57</v>
      </c>
      <c r="D85" s="10" t="s">
        <v>138</v>
      </c>
      <c r="E85" s="7" t="s">
        <v>160</v>
      </c>
      <c r="F85" s="7" t="s">
        <v>58</v>
      </c>
      <c r="G85" s="7" t="s">
        <v>59</v>
      </c>
      <c r="H85" s="7" t="s">
        <v>165</v>
      </c>
      <c r="I85" s="4" t="s">
        <v>30</v>
      </c>
      <c r="J85" s="4" t="n">
        <v>1</v>
      </c>
      <c r="K85" s="4" t="s">
        <v>31</v>
      </c>
      <c r="L85" s="7"/>
    </row>
    <row r="86" customFormat="false" ht="23.85" hidden="false" customHeight="false" outlineLevel="0" collapsed="false">
      <c r="A86" s="4" t="n">
        <v>85</v>
      </c>
      <c r="B86" s="5" t="n">
        <v>46368</v>
      </c>
      <c r="C86" s="4" t="s">
        <v>24</v>
      </c>
      <c r="D86" s="10" t="s">
        <v>138</v>
      </c>
      <c r="E86" s="7" t="s">
        <v>160</v>
      </c>
      <c r="F86" s="7" t="s">
        <v>27</v>
      </c>
      <c r="G86" s="7" t="s">
        <v>28</v>
      </c>
      <c r="H86" s="7" t="s">
        <v>166</v>
      </c>
      <c r="I86" s="4" t="s">
        <v>30</v>
      </c>
      <c r="J86" s="4" t="n">
        <v>3</v>
      </c>
      <c r="K86" s="4" t="s">
        <v>31</v>
      </c>
      <c r="L86" s="7"/>
    </row>
    <row r="87" customFormat="false" ht="23.85" hidden="false" customHeight="false" outlineLevel="0" collapsed="false">
      <c r="A87" s="4" t="n">
        <v>86</v>
      </c>
      <c r="B87" s="5" t="n">
        <v>46369</v>
      </c>
      <c r="C87" s="4" t="s">
        <v>32</v>
      </c>
      <c r="D87" s="10" t="s">
        <v>138</v>
      </c>
      <c r="E87" s="7" t="s">
        <v>160</v>
      </c>
      <c r="F87" s="7" t="s">
        <v>27</v>
      </c>
      <c r="G87" s="7" t="s">
        <v>33</v>
      </c>
      <c r="H87" s="7" t="s">
        <v>167</v>
      </c>
      <c r="I87" s="4" t="s">
        <v>30</v>
      </c>
      <c r="J87" s="4" t="n">
        <v>2.5</v>
      </c>
      <c r="K87" s="4" t="s">
        <v>31</v>
      </c>
      <c r="L87" s="7"/>
    </row>
    <row r="88" customFormat="false" ht="23.85" hidden="false" customHeight="false" outlineLevel="0" collapsed="false">
      <c r="A88" s="4" t="n">
        <v>87</v>
      </c>
      <c r="B88" s="5" t="n">
        <v>46370</v>
      </c>
      <c r="C88" s="4" t="s">
        <v>36</v>
      </c>
      <c r="D88" s="11" t="s">
        <v>168</v>
      </c>
      <c r="E88" s="7" t="s">
        <v>169</v>
      </c>
      <c r="F88" s="7" t="s">
        <v>38</v>
      </c>
      <c r="G88" s="7" t="s">
        <v>39</v>
      </c>
      <c r="H88" s="7" t="s">
        <v>170</v>
      </c>
      <c r="I88" s="4" t="s">
        <v>30</v>
      </c>
      <c r="J88" s="4" t="n">
        <v>1.5</v>
      </c>
      <c r="K88" s="4" t="s">
        <v>31</v>
      </c>
      <c r="L88" s="7"/>
    </row>
    <row r="89" customFormat="false" ht="35.05" hidden="false" customHeight="false" outlineLevel="0" collapsed="false">
      <c r="A89" s="4" t="n">
        <v>88</v>
      </c>
      <c r="B89" s="5" t="n">
        <v>46371</v>
      </c>
      <c r="C89" s="4" t="s">
        <v>42</v>
      </c>
      <c r="D89" s="11" t="s">
        <v>168</v>
      </c>
      <c r="E89" s="7" t="s">
        <v>169</v>
      </c>
      <c r="F89" s="7" t="s">
        <v>43</v>
      </c>
      <c r="G89" s="7" t="s">
        <v>44</v>
      </c>
      <c r="H89" s="7" t="s">
        <v>171</v>
      </c>
      <c r="I89" s="4" t="s">
        <v>30</v>
      </c>
      <c r="J89" s="4" t="n">
        <v>2</v>
      </c>
      <c r="K89" s="4" t="s">
        <v>31</v>
      </c>
      <c r="L89" s="7"/>
    </row>
    <row r="90" customFormat="false" ht="23.85" hidden="false" customHeight="false" outlineLevel="0" collapsed="false">
      <c r="A90" s="4" t="n">
        <v>89</v>
      </c>
      <c r="B90" s="5" t="n">
        <v>46372</v>
      </c>
      <c r="C90" s="4" t="s">
        <v>47</v>
      </c>
      <c r="D90" s="11" t="s">
        <v>168</v>
      </c>
      <c r="E90" s="7" t="s">
        <v>169</v>
      </c>
      <c r="F90" s="7" t="s">
        <v>48</v>
      </c>
      <c r="G90" s="7" t="s">
        <v>49</v>
      </c>
      <c r="H90" s="7" t="s">
        <v>172</v>
      </c>
      <c r="I90" s="4" t="s">
        <v>121</v>
      </c>
      <c r="J90" s="4" t="n">
        <v>1.5</v>
      </c>
      <c r="K90" s="4" t="s">
        <v>31</v>
      </c>
      <c r="L90" s="7"/>
    </row>
    <row r="91" customFormat="false" ht="23.85" hidden="false" customHeight="false" outlineLevel="0" collapsed="false">
      <c r="A91" s="4" t="n">
        <v>90</v>
      </c>
      <c r="B91" s="5" t="n">
        <v>46373</v>
      </c>
      <c r="C91" s="4" t="s">
        <v>52</v>
      </c>
      <c r="D91" s="11" t="s">
        <v>168</v>
      </c>
      <c r="E91" s="7" t="s">
        <v>169</v>
      </c>
      <c r="F91" s="7" t="s">
        <v>53</v>
      </c>
      <c r="G91" s="7" t="s">
        <v>54</v>
      </c>
      <c r="H91" s="7" t="s">
        <v>173</v>
      </c>
      <c r="I91" s="4" t="s">
        <v>174</v>
      </c>
      <c r="J91" s="4" t="n">
        <v>1.5</v>
      </c>
      <c r="K91" s="4" t="s">
        <v>31</v>
      </c>
      <c r="L91" s="7"/>
    </row>
    <row r="92" customFormat="false" ht="35.05" hidden="false" customHeight="false" outlineLevel="0" collapsed="false">
      <c r="A92" s="4" t="n">
        <v>91</v>
      </c>
      <c r="B92" s="5" t="n">
        <v>46374</v>
      </c>
      <c r="C92" s="4" t="s">
        <v>57</v>
      </c>
      <c r="D92" s="11" t="s">
        <v>168</v>
      </c>
      <c r="E92" s="7" t="s">
        <v>169</v>
      </c>
      <c r="F92" s="7" t="s">
        <v>58</v>
      </c>
      <c r="G92" s="7" t="s">
        <v>59</v>
      </c>
      <c r="H92" s="7" t="s">
        <v>175</v>
      </c>
      <c r="I92" s="4" t="s">
        <v>176</v>
      </c>
      <c r="J92" s="4" t="n">
        <v>1</v>
      </c>
      <c r="K92" s="4" t="s">
        <v>31</v>
      </c>
      <c r="L92" s="7"/>
    </row>
    <row r="93" customFormat="false" ht="23.85" hidden="false" customHeight="false" outlineLevel="0" collapsed="false">
      <c r="A93" s="4" t="n">
        <v>92</v>
      </c>
      <c r="B93" s="5" t="n">
        <v>46375</v>
      </c>
      <c r="C93" s="4" t="s">
        <v>24</v>
      </c>
      <c r="D93" s="11" t="s">
        <v>168</v>
      </c>
      <c r="E93" s="7" t="s">
        <v>169</v>
      </c>
      <c r="F93" s="7" t="s">
        <v>27</v>
      </c>
      <c r="G93" s="7" t="s">
        <v>28</v>
      </c>
      <c r="H93" s="7" t="s">
        <v>177</v>
      </c>
      <c r="I93" s="4" t="s">
        <v>30</v>
      </c>
      <c r="J93" s="4" t="n">
        <v>3</v>
      </c>
      <c r="K93" s="4" t="s">
        <v>31</v>
      </c>
      <c r="L93" s="7"/>
    </row>
    <row r="94" customFormat="false" ht="23.85" hidden="false" customHeight="false" outlineLevel="0" collapsed="false">
      <c r="A94" s="4" t="n">
        <v>93</v>
      </c>
      <c r="B94" s="5" t="n">
        <v>46376</v>
      </c>
      <c r="C94" s="4" t="s">
        <v>32</v>
      </c>
      <c r="D94" s="11" t="s">
        <v>168</v>
      </c>
      <c r="E94" s="7" t="s">
        <v>169</v>
      </c>
      <c r="F94" s="7" t="s">
        <v>27</v>
      </c>
      <c r="G94" s="7" t="s">
        <v>33</v>
      </c>
      <c r="H94" s="7" t="s">
        <v>178</v>
      </c>
      <c r="I94" s="4" t="s">
        <v>30</v>
      </c>
      <c r="J94" s="4" t="n">
        <v>2.5</v>
      </c>
      <c r="K94" s="4" t="s">
        <v>31</v>
      </c>
      <c r="L94" s="7"/>
    </row>
    <row r="95" customFormat="false" ht="23.85" hidden="false" customHeight="false" outlineLevel="0" collapsed="false">
      <c r="A95" s="4" t="n">
        <v>94</v>
      </c>
      <c r="B95" s="5" t="n">
        <v>46377</v>
      </c>
      <c r="C95" s="4" t="s">
        <v>36</v>
      </c>
      <c r="D95" s="11" t="s">
        <v>168</v>
      </c>
      <c r="E95" s="7" t="s">
        <v>179</v>
      </c>
      <c r="F95" s="7" t="s">
        <v>38</v>
      </c>
      <c r="G95" s="7" t="s">
        <v>39</v>
      </c>
      <c r="H95" s="7" t="s">
        <v>180</v>
      </c>
      <c r="I95" s="4" t="s">
        <v>30</v>
      </c>
      <c r="J95" s="4" t="n">
        <v>1.5</v>
      </c>
      <c r="K95" s="4" t="s">
        <v>31</v>
      </c>
      <c r="L95" s="7"/>
    </row>
    <row r="96" customFormat="false" ht="35.05" hidden="false" customHeight="false" outlineLevel="0" collapsed="false">
      <c r="A96" s="4" t="n">
        <v>95</v>
      </c>
      <c r="B96" s="5" t="n">
        <v>46378</v>
      </c>
      <c r="C96" s="4" t="s">
        <v>42</v>
      </c>
      <c r="D96" s="11" t="s">
        <v>168</v>
      </c>
      <c r="E96" s="7" t="s">
        <v>179</v>
      </c>
      <c r="F96" s="7" t="s">
        <v>43</v>
      </c>
      <c r="G96" s="7" t="s">
        <v>44</v>
      </c>
      <c r="H96" s="7" t="s">
        <v>181</v>
      </c>
      <c r="I96" s="4" t="s">
        <v>30</v>
      </c>
      <c r="J96" s="4" t="n">
        <v>2</v>
      </c>
      <c r="K96" s="4" t="s">
        <v>31</v>
      </c>
      <c r="L96" s="7"/>
    </row>
    <row r="97" customFormat="false" ht="23.85" hidden="false" customHeight="false" outlineLevel="0" collapsed="false">
      <c r="A97" s="4" t="n">
        <v>96</v>
      </c>
      <c r="B97" s="5" t="n">
        <v>46379</v>
      </c>
      <c r="C97" s="4" t="s">
        <v>47</v>
      </c>
      <c r="D97" s="11" t="s">
        <v>168</v>
      </c>
      <c r="E97" s="7" t="s">
        <v>179</v>
      </c>
      <c r="F97" s="7" t="s">
        <v>48</v>
      </c>
      <c r="G97" s="7" t="s">
        <v>49</v>
      </c>
      <c r="H97" s="7" t="s">
        <v>182</v>
      </c>
      <c r="I97" s="4" t="s">
        <v>30</v>
      </c>
      <c r="J97" s="4" t="n">
        <v>1.5</v>
      </c>
      <c r="K97" s="4" t="s">
        <v>31</v>
      </c>
      <c r="L97" s="7"/>
    </row>
    <row r="98" customFormat="false" ht="23.85" hidden="false" customHeight="false" outlineLevel="0" collapsed="false">
      <c r="A98" s="4" t="n">
        <v>97</v>
      </c>
      <c r="B98" s="5" t="n">
        <v>46380</v>
      </c>
      <c r="C98" s="4" t="s">
        <v>52</v>
      </c>
      <c r="D98" s="11" t="s">
        <v>168</v>
      </c>
      <c r="E98" s="7" t="s">
        <v>179</v>
      </c>
      <c r="F98" s="7" t="s">
        <v>53</v>
      </c>
      <c r="G98" s="7" t="s">
        <v>54</v>
      </c>
      <c r="H98" s="7" t="s">
        <v>183</v>
      </c>
      <c r="I98" s="4" t="s">
        <v>30</v>
      </c>
      <c r="J98" s="4" t="n">
        <v>1.5</v>
      </c>
      <c r="K98" s="4" t="s">
        <v>31</v>
      </c>
      <c r="L98" s="7"/>
    </row>
    <row r="99" customFormat="false" ht="35.05" hidden="false" customHeight="false" outlineLevel="0" collapsed="false">
      <c r="A99" s="4" t="n">
        <v>98</v>
      </c>
      <c r="B99" s="5" t="n">
        <v>46381</v>
      </c>
      <c r="C99" s="4" t="s">
        <v>57</v>
      </c>
      <c r="D99" s="11" t="s">
        <v>168</v>
      </c>
      <c r="E99" s="7" t="s">
        <v>179</v>
      </c>
      <c r="F99" s="7" t="s">
        <v>58</v>
      </c>
      <c r="G99" s="7" t="s">
        <v>59</v>
      </c>
      <c r="H99" s="7" t="s">
        <v>184</v>
      </c>
      <c r="I99" s="4" t="s">
        <v>30</v>
      </c>
      <c r="J99" s="4" t="n">
        <v>1</v>
      </c>
      <c r="K99" s="4" t="s">
        <v>31</v>
      </c>
      <c r="L99" s="7"/>
    </row>
    <row r="100" customFormat="false" ht="23.85" hidden="false" customHeight="false" outlineLevel="0" collapsed="false">
      <c r="A100" s="4" t="n">
        <v>99</v>
      </c>
      <c r="B100" s="5" t="n">
        <v>46382</v>
      </c>
      <c r="C100" s="4" t="s">
        <v>24</v>
      </c>
      <c r="D100" s="11" t="s">
        <v>168</v>
      </c>
      <c r="E100" s="7" t="s">
        <v>185</v>
      </c>
      <c r="F100" s="7" t="s">
        <v>27</v>
      </c>
      <c r="G100" s="7" t="s">
        <v>28</v>
      </c>
      <c r="H100" s="7" t="s">
        <v>186</v>
      </c>
      <c r="I100" s="4" t="s">
        <v>187</v>
      </c>
      <c r="J100" s="4" t="n">
        <v>3</v>
      </c>
      <c r="K100" s="4" t="s">
        <v>31</v>
      </c>
      <c r="L100" s="7"/>
    </row>
    <row r="101" customFormat="false" ht="35.05" hidden="false" customHeight="false" outlineLevel="0" collapsed="false">
      <c r="A101" s="4" t="n">
        <v>100</v>
      </c>
      <c r="B101" s="5" t="n">
        <v>46383</v>
      </c>
      <c r="C101" s="4" t="s">
        <v>32</v>
      </c>
      <c r="D101" s="11" t="s">
        <v>168</v>
      </c>
      <c r="E101" s="7" t="s">
        <v>188</v>
      </c>
      <c r="F101" s="7" t="s">
        <v>27</v>
      </c>
      <c r="G101" s="7" t="s">
        <v>33</v>
      </c>
      <c r="H101" s="7" t="s">
        <v>189</v>
      </c>
      <c r="I101" s="4" t="s">
        <v>30</v>
      </c>
      <c r="J101" s="4" t="n">
        <v>2.5</v>
      </c>
      <c r="K101" s="4" t="s">
        <v>31</v>
      </c>
      <c r="L101" s="7"/>
    </row>
  </sheetData>
  <dataValidations count="1">
    <dataValidation allowBlank="true" errorStyle="stop" operator="between" showDropDown="false" showErrorMessage="false" showInputMessage="false" sqref="K2:K101" type="list">
      <formula1>"Not Started,In Progress,Done,Skipped"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3"/>
  </cols>
  <sheetData>
    <row r="1" customFormat="false" ht="17.35" hidden="false" customHeight="false" outlineLevel="0" collapsed="false">
      <c r="A1" s="12" t="s">
        <v>190</v>
      </c>
      <c r="B1" s="12"/>
      <c r="C1" s="12"/>
      <c r="D1" s="12"/>
    </row>
    <row r="3" customFormat="false" ht="15" hidden="false" customHeight="false" outlineLevel="0" collapsed="false">
      <c r="A3" s="13" t="s">
        <v>191</v>
      </c>
      <c r="B3" s="2" t="n">
        <f aca="false">COUNTA('100-Day Tracker'!A2:A101)</f>
        <v>100</v>
      </c>
    </row>
    <row r="4" customFormat="false" ht="15" hidden="false" customHeight="false" outlineLevel="0" collapsed="false">
      <c r="A4" s="13" t="s">
        <v>192</v>
      </c>
      <c r="B4" s="2" t="n">
        <f aca="false">COUNTIF('100-Day Tracker'!K2:K101,"Done")</f>
        <v>0</v>
      </c>
    </row>
    <row r="5" customFormat="false" ht="15" hidden="false" customHeight="false" outlineLevel="0" collapsed="false">
      <c r="A5" s="13" t="s">
        <v>193</v>
      </c>
      <c r="B5" s="2" t="n">
        <f aca="false">COUNTIF('100-Day Tracker'!K2:K101,"In Progress")</f>
        <v>0</v>
      </c>
    </row>
    <row r="6" customFormat="false" ht="15" hidden="false" customHeight="false" outlineLevel="0" collapsed="false">
      <c r="A6" s="13" t="s">
        <v>194</v>
      </c>
      <c r="B6" s="2" t="n">
        <f aca="false">COUNTIF('100-Day Tracker'!K2:K101,"Skipped")</f>
        <v>0</v>
      </c>
    </row>
    <row r="7" customFormat="false" ht="15" hidden="false" customHeight="false" outlineLevel="0" collapsed="false">
      <c r="A7" s="13" t="s">
        <v>195</v>
      </c>
      <c r="B7" s="2" t="n">
        <f aca="false">COUNTIF('100-Day Tracker'!K2:K101,"Not Started")</f>
        <v>100</v>
      </c>
    </row>
    <row r="8" customFormat="false" ht="15" hidden="false" customHeight="false" outlineLevel="0" collapsed="false">
      <c r="A8" s="13" t="s">
        <v>196</v>
      </c>
      <c r="B8" s="14" t="n">
        <f aca="false">B4/B3</f>
        <v>0</v>
      </c>
    </row>
    <row r="9" customFormat="false" ht="15" hidden="false" customHeight="false" outlineLevel="0" collapsed="false">
      <c r="A9" s="13" t="s">
        <v>197</v>
      </c>
      <c r="B9" s="2" t="n">
        <f aca="false">ROUND(B3*2/3,0)</f>
        <v>67</v>
      </c>
    </row>
    <row r="10" customFormat="false" ht="15" hidden="false" customHeight="false" outlineLevel="0" collapsed="false">
      <c r="A10" s="13" t="s">
        <v>198</v>
      </c>
      <c r="B10" s="2" t="n">
        <f aca="false">MAX(B9-B4,0)</f>
        <v>67</v>
      </c>
    </row>
    <row r="13" customFormat="false" ht="15" hidden="false" customHeight="false" outlineLevel="0" collapsed="false">
      <c r="A13" s="15" t="s">
        <v>199</v>
      </c>
    </row>
    <row r="14" customFormat="false" ht="15" hidden="false" customHeight="false" outlineLevel="0" collapsed="false">
      <c r="A14" s="16" t="s">
        <v>15</v>
      </c>
      <c r="B14" s="16" t="s">
        <v>200</v>
      </c>
      <c r="C14" s="16" t="s">
        <v>201</v>
      </c>
      <c r="D14" s="16" t="s">
        <v>202</v>
      </c>
    </row>
    <row r="15" customFormat="false" ht="15" hidden="false" customHeight="false" outlineLevel="0" collapsed="false">
      <c r="A15" s="2" t="s">
        <v>25</v>
      </c>
      <c r="B15" s="2" t="n">
        <f aca="false">COUNTIF('100-Day Tracker'!$D$2:$D$101,A15)</f>
        <v>16</v>
      </c>
      <c r="C15" s="2" t="n">
        <f aca="false">COUNTIFS('100-Day Tracker'!$D$2:$D$101,A15,'100-Day Tracker'!$K$2:$K$101,"Done")</f>
        <v>0</v>
      </c>
      <c r="D15" s="14" t="n">
        <f aca="false">IF(B15=0,0,C15/B15)</f>
        <v>0</v>
      </c>
    </row>
    <row r="16" customFormat="false" ht="15" hidden="false" customHeight="false" outlineLevel="0" collapsed="false">
      <c r="A16" s="2" t="s">
        <v>75</v>
      </c>
      <c r="B16" s="2" t="n">
        <f aca="false">COUNTIF('100-Day Tracker'!$D$2:$D$101,A16)</f>
        <v>28</v>
      </c>
      <c r="C16" s="2" t="n">
        <f aca="false">COUNTIFS('100-Day Tracker'!$D$2:$D$101,A16,'100-Day Tracker'!$K$2:$K$101,"Done")</f>
        <v>0</v>
      </c>
      <c r="D16" s="14" t="n">
        <f aca="false">IF(B16=0,0,C16/B16)</f>
        <v>0</v>
      </c>
    </row>
    <row r="17" customFormat="false" ht="15" hidden="false" customHeight="false" outlineLevel="0" collapsed="false">
      <c r="A17" s="2" t="s">
        <v>118</v>
      </c>
      <c r="B17" s="2" t="n">
        <f aca="false">COUNTIF('100-Day Tracker'!$D$2:$D$101,A17)</f>
        <v>14</v>
      </c>
      <c r="C17" s="2" t="n">
        <f aca="false">COUNTIFS('100-Day Tracker'!$D$2:$D$101,A17,'100-Day Tracker'!$K$2:$K$101,"Done")</f>
        <v>0</v>
      </c>
      <c r="D17" s="14" t="n">
        <f aca="false">IF(B17=0,0,C17/B17)</f>
        <v>0</v>
      </c>
    </row>
    <row r="18" customFormat="false" ht="15" hidden="false" customHeight="false" outlineLevel="0" collapsed="false">
      <c r="A18" s="2" t="s">
        <v>138</v>
      </c>
      <c r="B18" s="2" t="n">
        <f aca="false">COUNTIF('100-Day Tracker'!$D$2:$D$101,A18)</f>
        <v>28</v>
      </c>
      <c r="C18" s="2" t="n">
        <f aca="false">COUNTIFS('100-Day Tracker'!$D$2:$D$101,A18,'100-Day Tracker'!$K$2:$K$101,"Done")</f>
        <v>0</v>
      </c>
      <c r="D18" s="14" t="n">
        <f aca="false">IF(B18=0,0,C18/B18)</f>
        <v>0</v>
      </c>
    </row>
    <row r="19" customFormat="false" ht="15" hidden="false" customHeight="false" outlineLevel="0" collapsed="false">
      <c r="A19" s="2" t="s">
        <v>168</v>
      </c>
      <c r="B19" s="2" t="n">
        <f aca="false">COUNTIF('100-Day Tracker'!$D$2:$D$101,A19)</f>
        <v>14</v>
      </c>
      <c r="C19" s="2" t="n">
        <f aca="false">COUNTIFS('100-Day Tracker'!$D$2:$D$101,A19,'100-Day Tracker'!$K$2:$K$101,"Done")</f>
        <v>0</v>
      </c>
      <c r="D19" s="14" t="n">
        <f aca="false">IF(B19=0,0,C19/B19)</f>
        <v>0</v>
      </c>
    </row>
    <row r="21" customFormat="false" ht="15" hidden="false" customHeight="false" outlineLevel="0" collapsed="false">
      <c r="A21" s="17" t="s">
        <v>203</v>
      </c>
      <c r="B21" s="17"/>
      <c r="C21" s="17"/>
      <c r="D21" s="17"/>
    </row>
  </sheetData>
  <mergeCells count="2">
    <mergeCell ref="A1:D1"/>
    <mergeCell ref="A21:D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48"/>
    <col collapsed="false" customWidth="true" hidden="false" outlineLevel="0" max="3" min="3" style="0" width="44"/>
  </cols>
  <sheetData>
    <row r="1" customFormat="false" ht="17.35" hidden="false" customHeight="false" outlineLevel="0" collapsed="false">
      <c r="A1" s="12" t="s">
        <v>204</v>
      </c>
      <c r="B1" s="12"/>
      <c r="C1" s="12"/>
    </row>
    <row r="3" customFormat="false" ht="15" hidden="false" customHeight="false" outlineLevel="0" collapsed="false">
      <c r="A3" s="16" t="s">
        <v>205</v>
      </c>
      <c r="B3" s="16" t="s">
        <v>206</v>
      </c>
      <c r="C3" s="16" t="s">
        <v>207</v>
      </c>
    </row>
    <row r="4" customFormat="false" ht="15" hidden="false" customHeight="false" outlineLevel="0" collapsed="false">
      <c r="A4" s="18" t="s">
        <v>208</v>
      </c>
      <c r="B4" s="19" t="s">
        <v>209</v>
      </c>
      <c r="C4" s="18" t="s">
        <v>210</v>
      </c>
    </row>
    <row r="5" customFormat="false" ht="15" hidden="false" customHeight="false" outlineLevel="0" collapsed="false">
      <c r="A5" s="18" t="s">
        <v>211</v>
      </c>
      <c r="B5" s="19" t="s">
        <v>212</v>
      </c>
      <c r="C5" s="18" t="s">
        <v>213</v>
      </c>
    </row>
    <row r="6" customFormat="false" ht="15" hidden="false" customHeight="false" outlineLevel="0" collapsed="false">
      <c r="A6" s="18" t="s">
        <v>214</v>
      </c>
      <c r="B6" s="19" t="s">
        <v>215</v>
      </c>
      <c r="C6" s="18" t="s">
        <v>216</v>
      </c>
    </row>
    <row r="7" customFormat="false" ht="15" hidden="false" customHeight="false" outlineLevel="0" collapsed="false">
      <c r="A7" s="18" t="s">
        <v>217</v>
      </c>
      <c r="B7" s="19" t="s">
        <v>218</v>
      </c>
      <c r="C7" s="18" t="s">
        <v>219</v>
      </c>
    </row>
    <row r="8" customFormat="false" ht="15" hidden="false" customHeight="false" outlineLevel="0" collapsed="false">
      <c r="A8" s="18" t="s">
        <v>220</v>
      </c>
      <c r="B8" s="19" t="s">
        <v>221</v>
      </c>
      <c r="C8" s="18" t="s">
        <v>222</v>
      </c>
    </row>
    <row r="9" customFormat="false" ht="15" hidden="false" customHeight="false" outlineLevel="0" collapsed="false">
      <c r="A9" s="18" t="s">
        <v>41</v>
      </c>
      <c r="B9" s="19" t="s">
        <v>223</v>
      </c>
      <c r="C9" s="18" t="s">
        <v>224</v>
      </c>
    </row>
    <row r="10" customFormat="false" ht="15" hidden="false" customHeight="false" outlineLevel="0" collapsed="false">
      <c r="A10" s="18" t="s">
        <v>225</v>
      </c>
      <c r="B10" s="19" t="s">
        <v>226</v>
      </c>
      <c r="C10" s="18" t="s">
        <v>224</v>
      </c>
    </row>
    <row r="11" customFormat="false" ht="15" hidden="false" customHeight="false" outlineLevel="0" collapsed="false">
      <c r="A11" s="18" t="s">
        <v>81</v>
      </c>
      <c r="B11" s="19" t="s">
        <v>227</v>
      </c>
      <c r="C11" s="18" t="s">
        <v>228</v>
      </c>
    </row>
    <row r="12" customFormat="false" ht="15" hidden="false" customHeight="false" outlineLevel="0" collapsed="false">
      <c r="A12" s="18" t="s">
        <v>125</v>
      </c>
      <c r="B12" s="19" t="s">
        <v>229</v>
      </c>
      <c r="C12" s="18" t="s">
        <v>228</v>
      </c>
    </row>
    <row r="13" customFormat="false" ht="15" hidden="false" customHeight="false" outlineLevel="0" collapsed="false">
      <c r="A13" s="18" t="s">
        <v>230</v>
      </c>
      <c r="B13" s="19" t="s">
        <v>231</v>
      </c>
      <c r="C13" s="18" t="s">
        <v>232</v>
      </c>
    </row>
    <row r="14" customFormat="false" ht="15" hidden="false" customHeight="false" outlineLevel="0" collapsed="false">
      <c r="A14" s="18" t="s">
        <v>233</v>
      </c>
      <c r="B14" s="19" t="s">
        <v>234</v>
      </c>
      <c r="C14" s="18" t="s">
        <v>232</v>
      </c>
    </row>
    <row r="15" customFormat="false" ht="15" hidden="false" customHeight="false" outlineLevel="0" collapsed="false">
      <c r="A15" s="18" t="s">
        <v>235</v>
      </c>
      <c r="B15" s="19" t="s">
        <v>236</v>
      </c>
      <c r="C15" s="18" t="s">
        <v>237</v>
      </c>
    </row>
    <row r="16" customFormat="false" ht="15" hidden="false" customHeight="false" outlineLevel="0" collapsed="false">
      <c r="A16" s="18" t="s">
        <v>105</v>
      </c>
      <c r="B16" s="19" t="s">
        <v>238</v>
      </c>
      <c r="C16" s="18" t="s">
        <v>239</v>
      </c>
    </row>
    <row r="17" customFormat="false" ht="15" hidden="false" customHeight="false" outlineLevel="0" collapsed="false">
      <c r="A17" s="18" t="s">
        <v>240</v>
      </c>
      <c r="B17" s="19" t="s">
        <v>241</v>
      </c>
      <c r="C17" s="18" t="s">
        <v>242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2026-09-19T13:15:16Z</dcterms:created>
  <dc:creator>openpyxl</dc:creator>
  <dc:description/>
  <dc:language>en-US</dc:language>
  <cp:lastModifiedBy/>
  <dcterms:modified xsi:type="dcterms:W3CDTF">2026-09-19T13:15:16Z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